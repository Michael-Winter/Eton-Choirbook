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b7022319_newcastle_ac_uk/Documents/PhD/Thesis/Volume 2/Appendix/"/>
    </mc:Choice>
  </mc:AlternateContent>
  <xr:revisionPtr revIDLastSave="0" documentId="8_{7B8A7408-28D9-47BB-94C6-1328CAA05C71}" xr6:coauthVersionLast="47" xr6:coauthVersionMax="47" xr10:uidLastSave="{00000000-0000-0000-0000-000000000000}"/>
  <bookViews>
    <workbookView xWindow="-19320" yWindow="-8340" windowWidth="19440" windowHeight="14880" xr2:uid="{00000000-000D-0000-FFFF-FFFF00000000}"/>
  </bookViews>
  <sheets>
    <sheet name="Candences" sheetId="1" r:id="rId1"/>
    <sheet name="Cantizans" sheetId="3" r:id="rId2"/>
    <sheet name="CVFs" sheetId="2" r:id="rId3"/>
    <sheet name="Post-cadential extensions" sheetId="4" r:id="rId4"/>
    <sheet name="Closes without a cad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 s="1"/>
  <c r="C13" i="3"/>
  <c r="D13" i="3" s="1"/>
  <c r="C4" i="3"/>
  <c r="D4" i="3" s="1"/>
  <c r="C25" i="3"/>
  <c r="D25" i="3" s="1"/>
  <c r="C10" i="3"/>
  <c r="D10" i="3" s="1"/>
  <c r="C7" i="3"/>
  <c r="D7" i="3" s="1"/>
  <c r="C20" i="3"/>
  <c r="D20" i="3" s="1"/>
  <c r="C9" i="3"/>
  <c r="D9" i="3" s="1"/>
  <c r="C3" i="3"/>
  <c r="D3" i="3" s="1"/>
  <c r="C12" i="3"/>
  <c r="D12" i="3" s="1"/>
  <c r="C21" i="3"/>
  <c r="D21" i="3" s="1"/>
  <c r="C6" i="3"/>
  <c r="D6" i="3" s="1"/>
  <c r="C11" i="3"/>
  <c r="D11" i="3" s="1"/>
  <c r="C26" i="3"/>
  <c r="D26" i="3" s="1"/>
  <c r="C23" i="3"/>
  <c r="D23" i="3" s="1"/>
  <c r="C16" i="3"/>
  <c r="D16" i="3" s="1"/>
  <c r="C46" i="3"/>
  <c r="D46" i="3" s="1"/>
  <c r="C17" i="3"/>
  <c r="D17" i="3" s="1"/>
  <c r="C18" i="3"/>
  <c r="D18" i="3" s="1"/>
  <c r="C30" i="3"/>
  <c r="D30" i="3" s="1"/>
  <c r="C31" i="3"/>
  <c r="D31" i="3" s="1"/>
  <c r="C24" i="3"/>
  <c r="D24" i="3" s="1"/>
  <c r="C15" i="3"/>
  <c r="D15" i="3" s="1"/>
  <c r="C8" i="3"/>
  <c r="D8" i="3" s="1"/>
  <c r="C22" i="3"/>
  <c r="D22" i="3" s="1"/>
  <c r="C32" i="3"/>
  <c r="D32" i="3" s="1"/>
  <c r="C19" i="3"/>
  <c r="D19" i="3" s="1"/>
  <c r="C27" i="3"/>
  <c r="D27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5" i="3"/>
  <c r="D45" i="3" s="1"/>
  <c r="C28" i="3"/>
  <c r="D28" i="3" s="1"/>
  <c r="C40" i="3"/>
  <c r="D40" i="3" s="1"/>
  <c r="C41" i="3"/>
  <c r="D41" i="3" s="1"/>
  <c r="C42" i="3"/>
  <c r="D42" i="3" s="1"/>
  <c r="C43" i="3"/>
  <c r="D43" i="3" s="1"/>
  <c r="C44" i="3"/>
  <c r="D44" i="3" s="1"/>
  <c r="C5" i="3"/>
  <c r="D5" i="3" s="1"/>
  <c r="C29" i="3"/>
  <c r="D29" i="3" s="1"/>
  <c r="C14" i="3"/>
  <c r="D14" i="3" s="1"/>
  <c r="B4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tc={9A4127E7-C82B-40B7-87E3-BA260578A1D3}</author>
    <author>tc={BFFC2EA9-9F95-4610-80B5-1EBCA44EF98C}</author>
    <author>tc={623DA47C-5B4C-4659-B8E6-E8B56743D57C}</author>
    <author>tc={5F112322-1EE2-4DEB-852C-37A4CBB3BC83}</author>
    <author>tc={F4D80204-F822-4EF1-A56D-12D077DB498F}</author>
    <author>tc={59ADB912-FD1E-4CA5-BCAA-FCD025D1D096}</author>
  </authors>
  <commentList>
    <comment ref="F1" authorId="0" shapeId="0" xr:uid="{9A4127E7-C82B-40B7-87E3-BA260578A1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Review: think about evaded vs abandoned CV
Reply:
    Also need to think about definition of CV</t>
      </text>
    </comment>
    <comment ref="I1" authorId="1" shapeId="0" xr:uid="{BFFC2EA9-9F95-4610-80B5-1EBCA44E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of enjambment must occur on or before perfection</t>
      </text>
    </comment>
    <comment ref="J1" authorId="2" shapeId="0" xr:uid="{623DA47C-5B4C-4659-B8E6-E8B56743D5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this definition, a section end is usually the end of a stanza
Also could signify change in texture</t>
      </text>
    </comment>
    <comment ref="K1" authorId="3" shapeId="0" xr:uid="{5F112322-1EE2-4DEB-852C-37A4CBB3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denoted by a double bar line or end of piece</t>
      </text>
    </comment>
    <comment ref="R1" authorId="4" shapeId="0" xr:uid="{F4D80204-F822-4EF1-A56D-12D077DB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tenorizans is evaded, I have pretended it is not for listing the Cantizans</t>
      </text>
    </comment>
    <comment ref="R354" authorId="5" shapeId="0" xr:uid="{59ADB912-FD1E-4CA5-BCAA-FCD025D1D096}">
      <text>
        <t>[Threaded comment]
Your version of Excel allows you to read this threaded comment; however, any edits to it will get removed if the file is opened in a newer version of Excel. Learn more: https://go.microsoft.com/fwlink/?linkid=870924
Comment:
    But evaded...</t>
      </text>
    </comment>
  </commentList>
</comments>
</file>

<file path=xl/sharedStrings.xml><?xml version="1.0" encoding="utf-8"?>
<sst xmlns="http://schemas.openxmlformats.org/spreadsheetml/2006/main" count="7706" uniqueCount="296">
  <si>
    <t>Composer</t>
  </si>
  <si>
    <t>E Number</t>
  </si>
  <si>
    <t>Title</t>
  </si>
  <si>
    <t>E2</t>
  </si>
  <si>
    <t>Gaude Flore Virginali</t>
  </si>
  <si>
    <t>Hugh Kellyk</t>
  </si>
  <si>
    <t>CadType</t>
  </si>
  <si>
    <t>Tone</t>
  </si>
  <si>
    <t>CVFs</t>
  </si>
  <si>
    <t>Bar</t>
  </si>
  <si>
    <t>Beat</t>
  </si>
  <si>
    <t>Section end?</t>
  </si>
  <si>
    <t>Enjambment?</t>
  </si>
  <si>
    <t>Major Section End</t>
  </si>
  <si>
    <t>Triplets?</t>
  </si>
  <si>
    <t>Hangover?</t>
  </si>
  <si>
    <t>Eton 6th?</t>
  </si>
  <si>
    <t>Full or reduced texture</t>
  </si>
  <si>
    <t>E10</t>
  </si>
  <si>
    <t>Gaude Virgo Mater Cristi</t>
  </si>
  <si>
    <t>Sturton</t>
  </si>
  <si>
    <t>gymell</t>
  </si>
  <si>
    <t>E17</t>
  </si>
  <si>
    <t>Salve Regina</t>
  </si>
  <si>
    <t>William Horwood</t>
  </si>
  <si>
    <t>E5</t>
  </si>
  <si>
    <t>Stabat Mater Dolorosa</t>
  </si>
  <si>
    <t>John Browne</t>
  </si>
  <si>
    <t>Triple or Duple</t>
  </si>
  <si>
    <t>E26</t>
  </si>
  <si>
    <t>Robert Fayrfax</t>
  </si>
  <si>
    <t>Cantizans</t>
  </si>
  <si>
    <t>C</t>
  </si>
  <si>
    <t>CT</t>
  </si>
  <si>
    <t>N</t>
  </si>
  <si>
    <t>reduced</t>
  </si>
  <si>
    <t>Triple</t>
  </si>
  <si>
    <t>clausula vera</t>
  </si>
  <si>
    <t>7_Held, 6_-2, 8</t>
  </si>
  <si>
    <t>7_Held, 8_Held, 6_Held, 5_-2, 8</t>
  </si>
  <si>
    <t>CTB</t>
  </si>
  <si>
    <t>Y</t>
  </si>
  <si>
    <t>authentic</t>
  </si>
  <si>
    <t>6_-2, 8</t>
  </si>
  <si>
    <t>Evaded authentic</t>
  </si>
  <si>
    <t>8_Held, 6_held, 5_-2, 8</t>
  </si>
  <si>
    <t>G</t>
  </si>
  <si>
    <t>8_Held, 6_-2, 8</t>
  </si>
  <si>
    <t>7_held, 5_Held, 6_-2, 8</t>
  </si>
  <si>
    <t>full</t>
  </si>
  <si>
    <t>CTx</t>
  </si>
  <si>
    <t>CTtx</t>
  </si>
  <si>
    <t>CTBl</t>
  </si>
  <si>
    <t>plagal</t>
  </si>
  <si>
    <t>n/a</t>
  </si>
  <si>
    <t>Cz</t>
  </si>
  <si>
    <t>Duple</t>
  </si>
  <si>
    <t>6_Held, 7_held, 6_-2, 8</t>
  </si>
  <si>
    <t>evaded clausula vera</t>
  </si>
  <si>
    <t>????</t>
  </si>
  <si>
    <t>Tc</t>
  </si>
  <si>
    <t>TC</t>
  </si>
  <si>
    <t>duple</t>
  </si>
  <si>
    <t>7_Held, 6_Held, 5_Held, 6_-2, 8</t>
  </si>
  <si>
    <t>6_held, 5_-2, 8</t>
  </si>
  <si>
    <t>ClT</t>
  </si>
  <si>
    <t>5_Held, 6_-2, 8</t>
  </si>
  <si>
    <t>F</t>
  </si>
  <si>
    <t>Label</t>
  </si>
  <si>
    <t>Cadential Voice Function</t>
  </si>
  <si>
    <t>b</t>
  </si>
  <si>
    <t>Bassizans evaded by step up</t>
  </si>
  <si>
    <t>B</t>
  </si>
  <si>
    <t>Bassizans</t>
  </si>
  <si>
    <t>c</t>
  </si>
  <si>
    <t>t</t>
  </si>
  <si>
    <t>Tenorizans evaded by step up</t>
  </si>
  <si>
    <t>L</t>
  </si>
  <si>
    <t>Leaping Contratenor</t>
  </si>
  <si>
    <t>u</t>
  </si>
  <si>
    <t>x</t>
  </si>
  <si>
    <t>Bassizans evaded by dropout</t>
  </si>
  <si>
    <t>T</t>
  </si>
  <si>
    <t>Tenorizans</t>
  </si>
  <si>
    <t>y</t>
  </si>
  <si>
    <t>Cantizans evaded by dropout</t>
  </si>
  <si>
    <t>z</t>
  </si>
  <si>
    <t>Tenorizans evaded by dropout</t>
  </si>
  <si>
    <t>Eton Sixth</t>
  </si>
  <si>
    <t>l</t>
  </si>
  <si>
    <t>leading contratenor evaded by dropout</t>
  </si>
  <si>
    <t>7_Held, 6_Held, 6_-2, 8</t>
  </si>
  <si>
    <t>txC</t>
  </si>
  <si>
    <t>CzL</t>
  </si>
  <si>
    <t>4_Held, 5_Held, 6_-2, 8</t>
  </si>
  <si>
    <t>E</t>
  </si>
  <si>
    <t>CETB</t>
  </si>
  <si>
    <t>CEB</t>
  </si>
  <si>
    <t>CTxtB</t>
  </si>
  <si>
    <t>6_Held, 5_Held, 6_-2, 8</t>
  </si>
  <si>
    <t>Bb</t>
  </si>
  <si>
    <t>tCB</t>
  </si>
  <si>
    <t>7_Held, 8_Held, 6_-2, 8</t>
  </si>
  <si>
    <t>tC</t>
  </si>
  <si>
    <t>6_Held, 7_Held, 6_-2, 8</t>
  </si>
  <si>
    <t>CTL</t>
  </si>
  <si>
    <t>zC</t>
  </si>
  <si>
    <t>phygian</t>
  </si>
  <si>
    <t>D</t>
  </si>
  <si>
    <t>tTCx</t>
  </si>
  <si>
    <t>ECTx</t>
  </si>
  <si>
    <t>CET</t>
  </si>
  <si>
    <t>ECT</t>
  </si>
  <si>
    <t>8_Held, 7_Held, 6_2, 8</t>
  </si>
  <si>
    <t>Ct</t>
  </si>
  <si>
    <t>CLT</t>
  </si>
  <si>
    <t>7_Held, 6_Held, 6_Held, 5_-2, 8</t>
  </si>
  <si>
    <t>7_Held, 8_Held, 7_Held, 6_Held, 5_Held, 6_-2, 8</t>
  </si>
  <si>
    <t>TCx</t>
  </si>
  <si>
    <t>CTl</t>
  </si>
  <si>
    <t>Cantizans evaded</t>
  </si>
  <si>
    <t>7_Held, 8_Held, 6_-2, [8]</t>
  </si>
  <si>
    <t>TCB</t>
  </si>
  <si>
    <t>ETB</t>
  </si>
  <si>
    <t>6_Held, 5_-2, 8</t>
  </si>
  <si>
    <t>CEET</t>
  </si>
  <si>
    <t>6_Held, 6_-2, 8</t>
  </si>
  <si>
    <t>CBT</t>
  </si>
  <si>
    <t>tECB</t>
  </si>
  <si>
    <t>evaded authentic</t>
  </si>
  <si>
    <t>CTb</t>
  </si>
  <si>
    <t>CTBB</t>
  </si>
  <si>
    <t>CTxB</t>
  </si>
  <si>
    <t>8_Held, 5_Held, 6_-2, 8</t>
  </si>
  <si>
    <t>zbC</t>
  </si>
  <si>
    <t>CxB</t>
  </si>
  <si>
    <t>CFb</t>
  </si>
  <si>
    <t>zCB</t>
  </si>
  <si>
    <t>CtB</t>
  </si>
  <si>
    <t>CtBl</t>
  </si>
  <si>
    <t>tCLB</t>
  </si>
  <si>
    <t>CETx</t>
  </si>
  <si>
    <t>CB</t>
  </si>
  <si>
    <t>CBL</t>
  </si>
  <si>
    <t>CTBb</t>
  </si>
  <si>
    <t>6_Held, 7_Held, 8_Held, 6_-2, 8</t>
  </si>
  <si>
    <t>tCTxB</t>
  </si>
  <si>
    <t>Full</t>
  </si>
  <si>
    <t>6_Held, 7_Held, 6_Held, 7_Held, 6_-2, 8</t>
  </si>
  <si>
    <t>A</t>
  </si>
  <si>
    <t>8_Held, 7_Held, 6_Held, 5_Held, 6_-2, 8</t>
  </si>
  <si>
    <t>CzB</t>
  </si>
  <si>
    <t>CTt</t>
  </si>
  <si>
    <t>???</t>
  </si>
  <si>
    <t>7_Held, 8_Held, 5_Held, 6_-2, 8</t>
  </si>
  <si>
    <t>Ctx</t>
  </si>
  <si>
    <t>CTE</t>
  </si>
  <si>
    <t>7_Held, 6_Held, 5_-2, 8</t>
  </si>
  <si>
    <t>CBTB</t>
  </si>
  <si>
    <t>non-cadential close</t>
  </si>
  <si>
    <t>TB</t>
  </si>
  <si>
    <t>6_Held, 6_Held, 7_Held, 6_-2, 8</t>
  </si>
  <si>
    <t>62-65</t>
  </si>
  <si>
    <t>Cx</t>
  </si>
  <si>
    <t>?</t>
  </si>
  <si>
    <t>Cb</t>
  </si>
  <si>
    <t>CBx</t>
  </si>
  <si>
    <t>Ctu</t>
  </si>
  <si>
    <t>CTu</t>
  </si>
  <si>
    <t>Bassizans evaded by third down/ sixth up</t>
  </si>
  <si>
    <t>7_Held, 6_Held, 7_Held, 6_Held, 5_-2, 8</t>
  </si>
  <si>
    <t>cB</t>
  </si>
  <si>
    <t>Gilbert Banester</t>
  </si>
  <si>
    <t>E35</t>
  </si>
  <si>
    <t>E36</t>
  </si>
  <si>
    <t>O Maria et Elizabeth</t>
  </si>
  <si>
    <t>8_Held, 6_Held, 4_-2, 8</t>
  </si>
  <si>
    <t>CL</t>
  </si>
  <si>
    <t>6_Held, 8_Held, 7_Held, 6_Held, 5_Held, 6_-2, 8</t>
  </si>
  <si>
    <t>CBTx</t>
  </si>
  <si>
    <t>7_Held, 6_Held, 7_Held, 8_Held, 6_-2, 8</t>
  </si>
  <si>
    <t>7_Held, 4_Held, 7_Held, 8_Held, 6_-2, 8</t>
  </si>
  <si>
    <t>6_Held, 8_Held, 5_Held, 6_-2, 8</t>
  </si>
  <si>
    <t>CEz</t>
  </si>
  <si>
    <t>7_Held, 6_Held, 7_Held, 6_-2, 8</t>
  </si>
  <si>
    <t>CxT</t>
  </si>
  <si>
    <t>Czb</t>
  </si>
  <si>
    <t>William Cornysh</t>
  </si>
  <si>
    <t>E65</t>
  </si>
  <si>
    <t>Ave Maria Mater Dei</t>
  </si>
  <si>
    <t>8_Held, 6_Held, 7_-2, 8</t>
  </si>
  <si>
    <t>E71</t>
  </si>
  <si>
    <t>Magnificat</t>
  </si>
  <si>
    <t xml:space="preserve">C </t>
  </si>
  <si>
    <t>CTBx</t>
  </si>
  <si>
    <t>tGL</t>
  </si>
  <si>
    <t>abandoned clausula vera</t>
  </si>
  <si>
    <t>CLz</t>
  </si>
  <si>
    <t>Czu</t>
  </si>
  <si>
    <t>CTLB</t>
  </si>
  <si>
    <t>cTB</t>
  </si>
  <si>
    <t>E25</t>
  </si>
  <si>
    <t>Salve Regina II</t>
  </si>
  <si>
    <t>Robert Wylkynson</t>
  </si>
  <si>
    <t>Ctb</t>
  </si>
  <si>
    <t>abandoned authentic</t>
  </si>
  <si>
    <t>tc</t>
  </si>
  <si>
    <t>6_Held, 4_-2 8</t>
  </si>
  <si>
    <t>E61</t>
  </si>
  <si>
    <t>Stella Celi</t>
  </si>
  <si>
    <t>Walter Lambe</t>
  </si>
  <si>
    <t>E52</t>
  </si>
  <si>
    <t>Nesciens Mater</t>
  </si>
  <si>
    <t>6_Held, 7_held, 8_Held, 6_Held, 7_Held, 6_Held, 5_-2, 8</t>
  </si>
  <si>
    <t>cT</t>
  </si>
  <si>
    <t>7_Held, 6_Held, 7_Held, 5_Held, 6_-2, 8</t>
  </si>
  <si>
    <t>9_Held, 8_Held, 6_Held, 7_Held, 6_-2, 8</t>
  </si>
  <si>
    <t>avoided authentic</t>
  </si>
  <si>
    <t>tCu</t>
  </si>
  <si>
    <t>E50</t>
  </si>
  <si>
    <t>Gaude Rosa Sine Spina</t>
  </si>
  <si>
    <t>Fawkyner</t>
  </si>
  <si>
    <t>7_Held, 5_Held, 6_-2, 8</t>
  </si>
  <si>
    <t>LTC</t>
  </si>
  <si>
    <t>tCx</t>
  </si>
  <si>
    <t>8_Held, 7_Held, 8_Held, 6_-2, 8</t>
  </si>
  <si>
    <t>7_Held, 6_Held, 7_Held, 8_Held, 5_held, 6_-2, 8</t>
  </si>
  <si>
    <t>CuTL</t>
  </si>
  <si>
    <t>8_Held, 7_Held, 8_Held, 5_Held, 6_-2, 8</t>
  </si>
  <si>
    <t>ClB</t>
  </si>
  <si>
    <t>yB</t>
  </si>
  <si>
    <t>TCu</t>
  </si>
  <si>
    <t>CTub</t>
  </si>
  <si>
    <t>8_Held, 7_Held, 6_Held, 7_Held, 6_-2, 8</t>
  </si>
  <si>
    <t>Pattern</t>
  </si>
  <si>
    <t>Count</t>
  </si>
  <si>
    <t>%</t>
  </si>
  <si>
    <t>8_Held, 7_Held, 6_-2, 8</t>
  </si>
  <si>
    <t>full/reduced texture</t>
  </si>
  <si>
    <t>CFVs</t>
  </si>
  <si>
    <t>Type</t>
  </si>
  <si>
    <t>GFV</t>
  </si>
  <si>
    <t>Turges</t>
  </si>
  <si>
    <t># Voices</t>
  </si>
  <si>
    <t>Notes</t>
  </si>
  <si>
    <t>Not cadential - more of an unwinding</t>
  </si>
  <si>
    <t>E #</t>
  </si>
  <si>
    <t>Static voices</t>
  </si>
  <si>
    <t>Lambe</t>
  </si>
  <si>
    <t>O Mater Venerabilis</t>
  </si>
  <si>
    <t>Browne</t>
  </si>
  <si>
    <t>Voice of hangover</t>
  </si>
  <si>
    <t>I</t>
  </si>
  <si>
    <t>I, II, III</t>
  </si>
  <si>
    <t>II, III, V</t>
  </si>
  <si>
    <t>?A</t>
  </si>
  <si>
    <t>?2</t>
  </si>
  <si>
    <t>I, II, IV</t>
  </si>
  <si>
    <t>Fragment, some assumptions made on recon</t>
  </si>
  <si>
    <t>/3</t>
  </si>
  <si>
    <t>II, IV</t>
  </si>
  <si>
    <t>CT[B]</t>
  </si>
  <si>
    <t>SVMX</t>
  </si>
  <si>
    <t>not used in piece</t>
  </si>
  <si>
    <t>Ascendit Christus</t>
  </si>
  <si>
    <t>I, II</t>
  </si>
  <si>
    <t>1&amp;2</t>
  </si>
  <si>
    <t>II, III, IV</t>
  </si>
  <si>
    <t>CBt</t>
  </si>
  <si>
    <t>Cornysh</t>
  </si>
  <si>
    <t>II</t>
  </si>
  <si>
    <t>GVMX</t>
  </si>
  <si>
    <t>Nesbett</t>
  </si>
  <si>
    <t>I, III, V</t>
  </si>
  <si>
    <t>II, V</t>
  </si>
  <si>
    <t>I, III</t>
  </si>
  <si>
    <t>II, III</t>
  </si>
  <si>
    <t>Horwood</t>
  </si>
  <si>
    <t>V</t>
  </si>
  <si>
    <t>III</t>
  </si>
  <si>
    <t>2&amp;1</t>
  </si>
  <si>
    <t>I, IV</t>
  </si>
  <si>
    <t>IV</t>
  </si>
  <si>
    <t>Kellyk</t>
  </si>
  <si>
    <t>I, II, III, V</t>
  </si>
  <si>
    <t>T?</t>
  </si>
  <si>
    <t>2?3?</t>
  </si>
  <si>
    <t>I, II, V</t>
  </si>
  <si>
    <t>Fayrfax</t>
  </si>
  <si>
    <t>Stratford</t>
  </si>
  <si>
    <t xml:space="preserve"> 6_Held, 7_Held, 6_Held, 5_-2, 8</t>
  </si>
  <si>
    <t>6_Held, 7_Held, 6_Held, 5_-2, 8</t>
  </si>
  <si>
    <t>Glossary of cadential decoration from this data</t>
  </si>
  <si>
    <t>run files through jSymbolic 2.2 - investigate</t>
  </si>
  <si>
    <t>Source</t>
  </si>
  <si>
    <t>Stemma/Sankey Graph for this?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</si>
</sst>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2" borderId="0" xfId="0" applyFill="1"/>
    <xf numFmtId="49" fontId="0" fillId="2" borderId="0" xfId="0" applyNumberFormat="1" applyFill="1"/>
    <xf numFmtId="0" fontId="2" fillId="0" borderId="0" xfId="0" applyFont="1"/>
    <xf numFmtId="49" fontId="2" fillId="0" borderId="0" xfId="0" applyNumberFormat="1" applyFont="1"/>
    <xf numFmtId="10" fontId="0" fillId="0" borderId="0" xfId="1" applyNumberFormat="1" applyFont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Per cent" xfId="1" builtinId="5"/>
  </cellStyles>
  <dxfs count="24"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ael Winter (PGR)" id="{1F056802-7036-41FD-8603-5CC502C72535}" userId="S::b7022319@newcastle.ac.uk::62e3cb2f-dd63-426d-ab93-31d8ae45126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BC7DE-99F3-4F13-A8D8-637CEA215157}" name="Table1" displayName="Table1" ref="A1:R452" totalsRowShown="0" headerRowDxfId="23" dataDxfId="22" tableBorderDxfId="21">
  <autoFilter ref="A1:R452" xr:uid="{0D4BC7DE-99F3-4F13-A8D8-637CEA215157}"/>
  <tableColumns count="18">
    <tableColumn id="1" xr3:uid="{E4C68177-13CC-4423-AE56-471822DC750F}" name="E Number" dataDxfId="20"/>
    <tableColumn id="2" xr3:uid="{EC132BF4-167F-4495-B793-8076E31F99EA}" name="Title" dataDxfId="19"/>
    <tableColumn id="3" xr3:uid="{2296F9BF-EABE-4EC2-A912-72AD3148E3EE}" name="Composer" dataDxfId="18"/>
    <tableColumn id="4" xr3:uid="{43FC3393-CA4D-40D0-BFEC-3E201AE1B8CB}" name="Bar" dataDxfId="17"/>
    <tableColumn id="5" xr3:uid="{2B60A79B-BDD8-4048-AE3B-33187345FEA5}" name="Beat" dataDxfId="16"/>
    <tableColumn id="6" xr3:uid="{BD5EC4FA-0F52-4422-BA99-34442A941F0C}" name="CadType" dataDxfId="15"/>
    <tableColumn id="7" xr3:uid="{4B2F594D-FE95-4463-AD21-B8AD7509ECB0}" name="Tone" dataDxfId="14"/>
    <tableColumn id="8" xr3:uid="{2C8D16F3-5556-4D86-AE53-99DE3732CA22}" name="CVFs" dataDxfId="13"/>
    <tableColumn id="9" xr3:uid="{4C48949A-B052-4060-B960-B5AF15A369C3}" name="Enjambment?" dataDxfId="12"/>
    <tableColumn id="10" xr3:uid="{71CE5DDE-1A52-433B-A093-52E6B76F1C5D}" name="Section end?" dataDxfId="11"/>
    <tableColumn id="11" xr3:uid="{87009937-05B0-4433-BE2C-56FFAB97EB6B}" name="Major Section End" dataDxfId="10"/>
    <tableColumn id="12" xr3:uid="{3893CDFE-AEE2-46D5-B064-38F3D5DF2E0D}" name="Hangover?" dataDxfId="9"/>
    <tableColumn id="13" xr3:uid="{95DCBC01-B529-4E7E-AEA0-1F049FE47DF4}" name="Triplets?" dataDxfId="8"/>
    <tableColumn id="14" xr3:uid="{F7954364-8E73-4ECB-A73E-D2040A6B2B26}" name="Eton 6th?" dataDxfId="7"/>
    <tableColumn id="15" xr3:uid="{97DB74E7-31B1-4799-B2C5-B47543FF8A93}" name="gymell" dataDxfId="6"/>
    <tableColumn id="16" xr3:uid="{199936D2-C57B-42D7-866A-38667A966E60}" name="Full or reduced texture" dataDxfId="5"/>
    <tableColumn id="17" xr3:uid="{4D26FC76-907E-4330-82AA-B2E1DD870C49}" name="Triple or Duple" dataDxfId="4"/>
    <tableColumn id="18" xr3:uid="{8448D4FA-F4F5-4C35-9315-F3AC787F7E89}" name="Cantizans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B39A8D-2FC5-4388-9893-58D646C5059A}" name="Table3" displayName="Table3" ref="A1:D46" totalsRowShown="0" headerRowDxfId="2">
  <autoFilter ref="A1:D46" xr:uid="{FCB39A8D-2FC5-4388-9893-58D646C5059A}">
    <filterColumn colId="0">
      <filters>
        <filter val="6_-2, 8"/>
      </filters>
    </filterColumn>
  </autoFilter>
  <sortState xmlns:xlrd2="http://schemas.microsoft.com/office/spreadsheetml/2017/richdata2" ref="A2:D46">
    <sortCondition descending="1" ref="C1:C46"/>
  </sortState>
  <tableColumns count="4">
    <tableColumn id="4" xr3:uid="{839ECA26-BB01-44F9-841A-6AFEAEE06C5C}" name="Source"/>
    <tableColumn id="1" xr3:uid="{77BB1B39-7EEF-4AAD-B112-E4E1E95BB027}" name="Pattern"/>
    <tableColumn id="2" xr3:uid="{E318CCD5-A322-4CA6-9DBC-F860220BC75B}" name="Count" dataDxfId="1">
      <calculatedColumnFormula>COUNTIF(Table1[Cantizans], Table3[[#This Row],[Pattern]])</calculatedColumnFormula>
    </tableColumn>
    <tableColumn id="3" xr3:uid="{FF52388B-26A6-42F2-A764-03B266EE462B}" name="%" dataDxfId="0">
      <calculatedColumnFormula>Table3[[#This Row],[Count]]/461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3-08-25T14:06:38.61" personId="{1F056802-7036-41FD-8603-5CC502C72535}" id="{9A4127E7-C82B-40B7-87E3-BA260578A1D3}">
    <text>Review: think about evaded vs abandoned CV</text>
  </threadedComment>
  <threadedComment ref="F1" dT="2023-09-05T11:04:13.61" personId="{1F056802-7036-41FD-8603-5CC502C72535}" id="{CF51EF6A-9F94-4819-A9BD-3C8F6945D6D1}" parentId="{9A4127E7-C82B-40B7-87E3-BA260578A1D3}">
    <text>Also need to think about definition of CV</text>
  </threadedComment>
  <threadedComment ref="I1" dT="2023-02-20T14:43:29.64" personId="{1F056802-7036-41FD-8603-5CC502C72535}" id="{BFFC2EA9-9F95-4610-80B5-1EBCA44EF98C}">
    <text>Start of enjambment must occur on or before perfection</text>
  </threadedComment>
  <threadedComment ref="J1" dT="2023-02-13T21:15:24.83" personId="{1F056802-7036-41FD-8603-5CC502C72535}" id="{623DA47C-5B4C-4659-B8E6-E8B56743D57C}">
    <text>In this definition, a section end is usually the end of a stanza
Also could signify change in texture</text>
  </threadedComment>
  <threadedComment ref="K1" dT="2023-02-13T21:15:44.98" personId="{1F056802-7036-41FD-8603-5CC502C72535}" id="{5F112322-1EE2-4DEB-852C-37A4CBB3BC83}">
    <text>As denoted by a double bar line or end of piece</text>
  </threadedComment>
  <threadedComment ref="R1" dT="2023-03-05T12:11:54.94" personId="{1F056802-7036-41FD-8603-5CC502C72535}" id="{F4D80204-F822-4EF1-A56D-12D077DB498F}">
    <text>If tenorizans is evaded, I have pretended it is not for listing the Cantizans</text>
  </threadedComment>
  <threadedComment ref="R354" dT="2023-09-05T12:14:01.09" personId="{1F056802-7036-41FD-8603-5CC502C72535}" id="{59ADB912-FD1E-4CA5-BCAA-FCD025D1D096}">
    <text>But evaded...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2"/>
  <sheetViews>
    <sheetView tabSelected="1" zoomScaleNormal="100" workbookViewId="0">
      <pane ySplit="1" topLeftCell="A2" activePane="bottomLeft" state="frozen"/>
      <selection activeCell="J1" sqref="J1"/>
      <selection pane="bottomLeft" activeCell="D389" sqref="D389"/>
    </sheetView>
  </sheetViews>
  <sheetFormatPr defaultRowHeight="14.4" x14ac:dyDescent="0.3"/>
  <cols>
    <col min="1" max="1" width="14.109375" customWidth="1"/>
    <col min="2" max="2" width="21.33203125" customWidth="1"/>
    <col min="3" max="3" width="18.33203125" customWidth="1"/>
    <col min="4" max="4" width="7.44140625" customWidth="1"/>
    <col min="5" max="5" width="8.88671875" customWidth="1"/>
    <col min="6" max="6" width="18.109375" customWidth="1"/>
    <col min="7" max="7" width="9.109375" customWidth="1"/>
    <col min="8" max="8" width="9.44140625" customWidth="1"/>
    <col min="9" max="10" width="18.5546875" customWidth="1"/>
    <col min="11" max="11" width="23.88671875" customWidth="1"/>
    <col min="12" max="12" width="15.6640625" customWidth="1"/>
    <col min="13" max="13" width="13.33203125" customWidth="1"/>
    <col min="14" max="14" width="14.33203125" customWidth="1"/>
    <col min="15" max="15" width="10.5546875" customWidth="1"/>
    <col min="16" max="16" width="29" customWidth="1"/>
    <col min="17" max="17" width="19.88671875" customWidth="1"/>
    <col min="18" max="18" width="14.6640625" style="1" customWidth="1"/>
  </cols>
  <sheetData>
    <row r="1" spans="1:18" x14ac:dyDescent="0.3">
      <c r="A1" s="6" t="s">
        <v>1</v>
      </c>
      <c r="B1" s="6" t="s">
        <v>2</v>
      </c>
      <c r="C1" s="6" t="s">
        <v>0</v>
      </c>
      <c r="D1" s="6" t="s">
        <v>9</v>
      </c>
      <c r="E1" s="6" t="s">
        <v>10</v>
      </c>
      <c r="F1" s="6" t="s">
        <v>6</v>
      </c>
      <c r="G1" s="6" t="s">
        <v>7</v>
      </c>
      <c r="H1" s="6" t="s">
        <v>8</v>
      </c>
      <c r="I1" s="6" t="s">
        <v>12</v>
      </c>
      <c r="J1" s="6" t="s">
        <v>11</v>
      </c>
      <c r="K1" s="6" t="s">
        <v>13</v>
      </c>
      <c r="L1" s="6" t="s">
        <v>15</v>
      </c>
      <c r="M1" s="6" t="s">
        <v>14</v>
      </c>
      <c r="N1" s="6" t="s">
        <v>16</v>
      </c>
      <c r="O1" s="6" t="s">
        <v>21</v>
      </c>
      <c r="P1" s="6" t="s">
        <v>17</v>
      </c>
      <c r="Q1" s="6" t="s">
        <v>28</v>
      </c>
      <c r="R1" s="7" t="s">
        <v>31</v>
      </c>
    </row>
    <row r="2" spans="1:18" x14ac:dyDescent="0.3">
      <c r="A2" s="2" t="s">
        <v>3</v>
      </c>
      <c r="B2" s="2" t="s">
        <v>4</v>
      </c>
      <c r="C2" s="2" t="s">
        <v>5</v>
      </c>
      <c r="D2" s="2">
        <v>4</v>
      </c>
      <c r="E2" s="2">
        <v>2</v>
      </c>
      <c r="F2" s="2" t="s">
        <v>37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35</v>
      </c>
      <c r="Q2" s="2" t="s">
        <v>36</v>
      </c>
      <c r="R2" s="3" t="s">
        <v>38</v>
      </c>
    </row>
    <row r="3" spans="1:18" x14ac:dyDescent="0.3">
      <c r="A3" t="s">
        <v>3</v>
      </c>
      <c r="B3" t="s">
        <v>4</v>
      </c>
      <c r="C3" t="s">
        <v>5</v>
      </c>
      <c r="D3">
        <v>11</v>
      </c>
      <c r="E3">
        <v>1</v>
      </c>
      <c r="F3" t="s">
        <v>37</v>
      </c>
      <c r="G3" t="s">
        <v>32</v>
      </c>
      <c r="H3" t="s">
        <v>33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s="1" t="s">
        <v>39</v>
      </c>
    </row>
    <row r="4" spans="1:18" x14ac:dyDescent="0.3">
      <c r="A4" s="4" t="s">
        <v>3</v>
      </c>
      <c r="B4" s="4" t="s">
        <v>4</v>
      </c>
      <c r="C4" s="4" t="s">
        <v>5</v>
      </c>
      <c r="D4" s="4">
        <v>14</v>
      </c>
      <c r="E4" s="4">
        <v>1</v>
      </c>
      <c r="F4" s="4" t="s">
        <v>53</v>
      </c>
      <c r="G4" s="4" t="s">
        <v>32</v>
      </c>
      <c r="H4" s="4" t="s">
        <v>54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35</v>
      </c>
      <c r="Q4" s="4" t="s">
        <v>36</v>
      </c>
      <c r="R4" s="5" t="s">
        <v>54</v>
      </c>
    </row>
    <row r="5" spans="1:18" x14ac:dyDescent="0.3">
      <c r="A5" t="s">
        <v>3</v>
      </c>
      <c r="B5" t="s">
        <v>4</v>
      </c>
      <c r="C5" t="s">
        <v>5</v>
      </c>
      <c r="D5">
        <v>15</v>
      </c>
      <c r="E5">
        <v>1</v>
      </c>
      <c r="F5" t="s">
        <v>42</v>
      </c>
      <c r="G5" t="s">
        <v>32</v>
      </c>
      <c r="H5" t="s">
        <v>40</v>
      </c>
      <c r="I5" t="s">
        <v>41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35</v>
      </c>
      <c r="Q5" t="s">
        <v>36</v>
      </c>
      <c r="R5" s="1" t="s">
        <v>43</v>
      </c>
    </row>
    <row r="6" spans="1:18" x14ac:dyDescent="0.3">
      <c r="A6" s="4" t="s">
        <v>3</v>
      </c>
      <c r="B6" s="4" t="s">
        <v>4</v>
      </c>
      <c r="C6" s="4" t="s">
        <v>5</v>
      </c>
      <c r="D6" s="4">
        <v>19</v>
      </c>
      <c r="E6" s="4">
        <v>2</v>
      </c>
      <c r="F6" s="4" t="s">
        <v>42</v>
      </c>
      <c r="G6" s="4" t="s">
        <v>32</v>
      </c>
      <c r="H6" s="4" t="s">
        <v>33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35</v>
      </c>
      <c r="Q6" s="4" t="s">
        <v>36</v>
      </c>
      <c r="R6" s="5" t="s">
        <v>38</v>
      </c>
    </row>
    <row r="7" spans="1:18" x14ac:dyDescent="0.3">
      <c r="A7" t="s">
        <v>3</v>
      </c>
      <c r="B7" t="s">
        <v>4</v>
      </c>
      <c r="C7" t="s">
        <v>5</v>
      </c>
      <c r="D7">
        <v>23</v>
      </c>
      <c r="E7">
        <v>2</v>
      </c>
      <c r="F7" t="s">
        <v>42</v>
      </c>
      <c r="G7" t="s">
        <v>32</v>
      </c>
      <c r="H7" t="s">
        <v>50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35</v>
      </c>
      <c r="Q7" t="s">
        <v>36</v>
      </c>
      <c r="R7" s="1" t="s">
        <v>43</v>
      </c>
    </row>
    <row r="8" spans="1:18" x14ac:dyDescent="0.3">
      <c r="A8" s="4" t="s">
        <v>3</v>
      </c>
      <c r="B8" s="4" t="s">
        <v>4</v>
      </c>
      <c r="C8" s="4" t="s">
        <v>5</v>
      </c>
      <c r="D8" s="4">
        <v>25</v>
      </c>
      <c r="E8" s="4">
        <v>1</v>
      </c>
      <c r="F8" s="4" t="s">
        <v>44</v>
      </c>
      <c r="G8" s="4" t="s">
        <v>32</v>
      </c>
      <c r="H8" s="4" t="s">
        <v>50</v>
      </c>
      <c r="I8" s="4" t="s">
        <v>41</v>
      </c>
      <c r="J8" s="4" t="s">
        <v>34</v>
      </c>
      <c r="K8" s="4" t="s">
        <v>34</v>
      </c>
      <c r="L8" s="4" t="s">
        <v>41</v>
      </c>
      <c r="M8" s="4" t="s">
        <v>34</v>
      </c>
      <c r="N8" s="4" t="s">
        <v>34</v>
      </c>
      <c r="O8" s="4" t="s">
        <v>34</v>
      </c>
      <c r="P8" s="4" t="s">
        <v>35</v>
      </c>
      <c r="Q8" s="4" t="s">
        <v>36</v>
      </c>
      <c r="R8" s="5" t="s">
        <v>45</v>
      </c>
    </row>
    <row r="9" spans="1:18" x14ac:dyDescent="0.3">
      <c r="A9" t="s">
        <v>3</v>
      </c>
      <c r="B9" t="s">
        <v>4</v>
      </c>
      <c r="C9" t="s">
        <v>5</v>
      </c>
      <c r="D9">
        <v>26</v>
      </c>
      <c r="E9">
        <v>1</v>
      </c>
      <c r="F9" t="s">
        <v>42</v>
      </c>
      <c r="G9" t="s">
        <v>46</v>
      </c>
      <c r="H9" t="s">
        <v>33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35</v>
      </c>
      <c r="Q9" t="s">
        <v>36</v>
      </c>
      <c r="R9" s="1" t="s">
        <v>43</v>
      </c>
    </row>
    <row r="10" spans="1:18" x14ac:dyDescent="0.3">
      <c r="A10" s="4" t="s">
        <v>3</v>
      </c>
      <c r="B10" s="4" t="s">
        <v>4</v>
      </c>
      <c r="C10" s="4" t="s">
        <v>5</v>
      </c>
      <c r="D10" s="4">
        <v>29</v>
      </c>
      <c r="E10" s="4">
        <v>1</v>
      </c>
      <c r="F10" s="4" t="s">
        <v>37</v>
      </c>
      <c r="G10" s="4" t="s">
        <v>32</v>
      </c>
      <c r="H10" s="4" t="s">
        <v>33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35</v>
      </c>
      <c r="Q10" s="4" t="s">
        <v>36</v>
      </c>
      <c r="R10" s="5" t="s">
        <v>47</v>
      </c>
    </row>
    <row r="11" spans="1:18" x14ac:dyDescent="0.3">
      <c r="A11" t="s">
        <v>3</v>
      </c>
      <c r="B11" t="s">
        <v>4</v>
      </c>
      <c r="C11" t="s">
        <v>5</v>
      </c>
      <c r="D11">
        <v>33</v>
      </c>
      <c r="E11">
        <v>3</v>
      </c>
      <c r="F11" t="s">
        <v>37</v>
      </c>
      <c r="G11" t="s">
        <v>32</v>
      </c>
      <c r="H11" t="s">
        <v>33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35</v>
      </c>
      <c r="Q11" t="s">
        <v>36</v>
      </c>
      <c r="R11" s="1" t="s">
        <v>47</v>
      </c>
    </row>
    <row r="12" spans="1:18" x14ac:dyDescent="0.3">
      <c r="A12" s="4" t="s">
        <v>3</v>
      </c>
      <c r="B12" s="4" t="s">
        <v>4</v>
      </c>
      <c r="C12" s="4" t="s">
        <v>5</v>
      </c>
      <c r="D12" s="4">
        <v>42</v>
      </c>
      <c r="E12" s="4">
        <v>1</v>
      </c>
      <c r="F12" s="4" t="s">
        <v>37</v>
      </c>
      <c r="G12" s="4" t="s">
        <v>32</v>
      </c>
      <c r="H12" s="4" t="s">
        <v>33</v>
      </c>
      <c r="I12" s="4" t="s">
        <v>34</v>
      </c>
      <c r="J12" s="4" t="s">
        <v>41</v>
      </c>
      <c r="K12" s="4" t="s">
        <v>34</v>
      </c>
      <c r="L12" s="4" t="s">
        <v>41</v>
      </c>
      <c r="M12" s="4" t="s">
        <v>34</v>
      </c>
      <c r="N12" s="4" t="s">
        <v>34</v>
      </c>
      <c r="O12" s="4" t="s">
        <v>34</v>
      </c>
      <c r="P12" s="4" t="s">
        <v>35</v>
      </c>
      <c r="Q12" s="4" t="s">
        <v>36</v>
      </c>
      <c r="R12" s="5" t="s">
        <v>39</v>
      </c>
    </row>
    <row r="13" spans="1:18" x14ac:dyDescent="0.3">
      <c r="A13" t="s">
        <v>3</v>
      </c>
      <c r="B13" t="s">
        <v>4</v>
      </c>
      <c r="C13" t="s">
        <v>5</v>
      </c>
      <c r="D13">
        <v>45</v>
      </c>
      <c r="E13">
        <v>1</v>
      </c>
      <c r="F13" t="s">
        <v>42</v>
      </c>
      <c r="G13" t="s">
        <v>46</v>
      </c>
      <c r="H13" t="s">
        <v>40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49</v>
      </c>
      <c r="Q13" t="s">
        <v>36</v>
      </c>
      <c r="R13" s="1" t="s">
        <v>48</v>
      </c>
    </row>
    <row r="14" spans="1:18" x14ac:dyDescent="0.3">
      <c r="A14" s="4" t="s">
        <v>3</v>
      </c>
      <c r="B14" s="4" t="s">
        <v>4</v>
      </c>
      <c r="C14" s="4" t="s">
        <v>5</v>
      </c>
      <c r="D14" s="4">
        <v>50</v>
      </c>
      <c r="E14" s="4">
        <v>1</v>
      </c>
      <c r="F14" s="4" t="s">
        <v>42</v>
      </c>
      <c r="G14" s="4" t="s">
        <v>32</v>
      </c>
      <c r="H14" s="4" t="s">
        <v>40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49</v>
      </c>
      <c r="Q14" s="4" t="s">
        <v>36</v>
      </c>
      <c r="R14" s="5" t="s">
        <v>43</v>
      </c>
    </row>
    <row r="15" spans="1:18" x14ac:dyDescent="0.3">
      <c r="A15" t="s">
        <v>3</v>
      </c>
      <c r="B15" t="s">
        <v>4</v>
      </c>
      <c r="C15" t="s">
        <v>5</v>
      </c>
      <c r="D15">
        <v>54</v>
      </c>
      <c r="E15">
        <v>1</v>
      </c>
      <c r="F15" t="s">
        <v>42</v>
      </c>
      <c r="G15" t="s">
        <v>46</v>
      </c>
      <c r="H15" t="s">
        <v>158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49</v>
      </c>
      <c r="Q15" t="s">
        <v>36</v>
      </c>
      <c r="R15" s="1" t="s">
        <v>39</v>
      </c>
    </row>
    <row r="16" spans="1:18" x14ac:dyDescent="0.3">
      <c r="A16" s="4" t="s">
        <v>3</v>
      </c>
      <c r="B16" s="4" t="s">
        <v>4</v>
      </c>
      <c r="C16" s="4" t="s">
        <v>5</v>
      </c>
      <c r="D16" s="4">
        <v>56</v>
      </c>
      <c r="E16" s="4">
        <v>1</v>
      </c>
      <c r="F16" s="4" t="s">
        <v>42</v>
      </c>
      <c r="G16" s="4" t="s">
        <v>32</v>
      </c>
      <c r="H16" s="4" t="s">
        <v>40</v>
      </c>
      <c r="I16" s="4" t="s">
        <v>34</v>
      </c>
      <c r="J16" s="4" t="s">
        <v>34</v>
      </c>
      <c r="K16" s="4" t="s">
        <v>34</v>
      </c>
      <c r="L16" s="4" t="s">
        <v>34</v>
      </c>
      <c r="M16" s="4" t="s">
        <v>34</v>
      </c>
      <c r="N16" s="4" t="s">
        <v>34</v>
      </c>
      <c r="O16" s="4" t="s">
        <v>34</v>
      </c>
      <c r="P16" s="4" t="s">
        <v>49</v>
      </c>
      <c r="Q16" s="4" t="s">
        <v>36</v>
      </c>
      <c r="R16" s="5" t="s">
        <v>48</v>
      </c>
    </row>
    <row r="17" spans="1:18" x14ac:dyDescent="0.3">
      <c r="A17" t="s">
        <v>3</v>
      </c>
      <c r="B17" t="s">
        <v>4</v>
      </c>
      <c r="C17" t="s">
        <v>5</v>
      </c>
      <c r="D17">
        <v>62</v>
      </c>
      <c r="E17">
        <v>2</v>
      </c>
      <c r="F17" t="s">
        <v>42</v>
      </c>
      <c r="G17" t="s">
        <v>46</v>
      </c>
      <c r="H17" t="s">
        <v>40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49</v>
      </c>
      <c r="Q17" t="s">
        <v>36</v>
      </c>
      <c r="R17" s="1" t="s">
        <v>43</v>
      </c>
    </row>
    <row r="18" spans="1:18" x14ac:dyDescent="0.3">
      <c r="A18" s="4" t="s">
        <v>3</v>
      </c>
      <c r="B18" s="4" t="s">
        <v>4</v>
      </c>
      <c r="C18" s="4" t="s">
        <v>5</v>
      </c>
      <c r="D18" s="4">
        <v>65</v>
      </c>
      <c r="E18" s="4">
        <v>1</v>
      </c>
      <c r="F18" s="4" t="s">
        <v>159</v>
      </c>
      <c r="G18" s="4" t="s">
        <v>32</v>
      </c>
      <c r="H18" s="4" t="s">
        <v>153</v>
      </c>
      <c r="I18" s="4" t="s">
        <v>34</v>
      </c>
      <c r="J18" s="4" t="s">
        <v>41</v>
      </c>
      <c r="K18" s="4" t="s">
        <v>34</v>
      </c>
      <c r="L18" s="4" t="s">
        <v>41</v>
      </c>
      <c r="M18" s="4" t="s">
        <v>34</v>
      </c>
      <c r="N18" s="4" t="s">
        <v>34</v>
      </c>
      <c r="O18" s="4" t="s">
        <v>34</v>
      </c>
      <c r="P18" s="4" t="s">
        <v>49</v>
      </c>
      <c r="Q18" s="4" t="s">
        <v>36</v>
      </c>
      <c r="R18" s="5" t="s">
        <v>153</v>
      </c>
    </row>
    <row r="19" spans="1:18" x14ac:dyDescent="0.3">
      <c r="A19" t="s">
        <v>3</v>
      </c>
      <c r="B19" t="s">
        <v>4</v>
      </c>
      <c r="C19" t="s">
        <v>5</v>
      </c>
      <c r="D19">
        <v>77</v>
      </c>
      <c r="E19">
        <v>2</v>
      </c>
      <c r="F19" t="s">
        <v>107</v>
      </c>
      <c r="G19" t="s">
        <v>95</v>
      </c>
      <c r="H19" t="s">
        <v>61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35</v>
      </c>
      <c r="Q19" t="s">
        <v>36</v>
      </c>
      <c r="R19" s="1" t="s">
        <v>38</v>
      </c>
    </row>
    <row r="20" spans="1:18" x14ac:dyDescent="0.3">
      <c r="A20" s="4" t="s">
        <v>3</v>
      </c>
      <c r="B20" s="4" t="s">
        <v>4</v>
      </c>
      <c r="C20" s="4" t="s">
        <v>5</v>
      </c>
      <c r="D20" s="4">
        <v>86</v>
      </c>
      <c r="E20" s="4">
        <v>1</v>
      </c>
      <c r="F20" s="4" t="s">
        <v>42</v>
      </c>
      <c r="G20" s="4" t="s">
        <v>32</v>
      </c>
      <c r="H20" s="4" t="s">
        <v>122</v>
      </c>
      <c r="I20" s="4" t="s">
        <v>34</v>
      </c>
      <c r="J20" s="4" t="s">
        <v>34</v>
      </c>
      <c r="K20" s="4" t="s">
        <v>34</v>
      </c>
      <c r="L20" s="4" t="s">
        <v>34</v>
      </c>
      <c r="M20" s="4" t="s">
        <v>34</v>
      </c>
      <c r="N20" s="4" t="s">
        <v>34</v>
      </c>
      <c r="O20" s="4" t="s">
        <v>34</v>
      </c>
      <c r="P20" s="4" t="s">
        <v>35</v>
      </c>
      <c r="Q20" s="4" t="s">
        <v>36</v>
      </c>
      <c r="R20" s="5" t="s">
        <v>145</v>
      </c>
    </row>
    <row r="21" spans="1:18" x14ac:dyDescent="0.3">
      <c r="A21" t="s">
        <v>3</v>
      </c>
      <c r="B21" t="s">
        <v>4</v>
      </c>
      <c r="C21" t="s">
        <v>5</v>
      </c>
      <c r="D21">
        <v>94</v>
      </c>
      <c r="E21">
        <v>1</v>
      </c>
      <c r="F21" t="s">
        <v>37</v>
      </c>
      <c r="G21" t="s">
        <v>32</v>
      </c>
      <c r="H21" t="s">
        <v>33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35</v>
      </c>
      <c r="Q21" t="s">
        <v>36</v>
      </c>
      <c r="R21" s="1" t="s">
        <v>38</v>
      </c>
    </row>
    <row r="22" spans="1:18" x14ac:dyDescent="0.3">
      <c r="A22" s="4" t="s">
        <v>3</v>
      </c>
      <c r="B22" s="4" t="s">
        <v>4</v>
      </c>
      <c r="C22" s="4" t="s">
        <v>5</v>
      </c>
      <c r="D22" s="4">
        <v>102</v>
      </c>
      <c r="E22" s="4">
        <v>1</v>
      </c>
      <c r="F22" s="4" t="s">
        <v>42</v>
      </c>
      <c r="G22" s="4" t="s">
        <v>32</v>
      </c>
      <c r="H22" s="4" t="s">
        <v>40</v>
      </c>
      <c r="I22" s="4" t="s">
        <v>41</v>
      </c>
      <c r="J22" s="4" t="s">
        <v>41</v>
      </c>
      <c r="K22" s="4" t="s">
        <v>34</v>
      </c>
      <c r="L22" s="4" t="s">
        <v>34</v>
      </c>
      <c r="M22" s="4" t="s">
        <v>34</v>
      </c>
      <c r="N22" s="4" t="s">
        <v>34</v>
      </c>
      <c r="O22" s="4" t="s">
        <v>34</v>
      </c>
      <c r="P22" s="4" t="s">
        <v>35</v>
      </c>
      <c r="Q22" s="4" t="s">
        <v>36</v>
      </c>
      <c r="R22" s="5" t="s">
        <v>48</v>
      </c>
    </row>
    <row r="23" spans="1:18" x14ac:dyDescent="0.3">
      <c r="A23" t="s">
        <v>3</v>
      </c>
      <c r="B23" t="s">
        <v>4</v>
      </c>
      <c r="C23" t="s">
        <v>5</v>
      </c>
      <c r="D23">
        <v>109</v>
      </c>
      <c r="E23">
        <v>1</v>
      </c>
      <c r="F23" t="s">
        <v>42</v>
      </c>
      <c r="G23" t="s">
        <v>32</v>
      </c>
      <c r="H23" t="s">
        <v>51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49</v>
      </c>
      <c r="Q23" t="s">
        <v>36</v>
      </c>
      <c r="R23" s="1" t="s">
        <v>43</v>
      </c>
    </row>
    <row r="24" spans="1:18" x14ac:dyDescent="0.3">
      <c r="A24" s="4" t="s">
        <v>3</v>
      </c>
      <c r="B24" s="4" t="s">
        <v>4</v>
      </c>
      <c r="C24" s="4" t="s">
        <v>5</v>
      </c>
      <c r="D24" s="4">
        <v>115</v>
      </c>
      <c r="E24" s="4">
        <v>1</v>
      </c>
      <c r="F24" s="4" t="s">
        <v>42</v>
      </c>
      <c r="G24" s="4" t="s">
        <v>32</v>
      </c>
      <c r="H24" s="4" t="s">
        <v>50</v>
      </c>
      <c r="I24" s="4" t="s">
        <v>34</v>
      </c>
      <c r="J24" s="4" t="s">
        <v>34</v>
      </c>
      <c r="K24" s="4" t="s">
        <v>34</v>
      </c>
      <c r="L24" s="4" t="s">
        <v>34</v>
      </c>
      <c r="M24" s="4" t="s">
        <v>34</v>
      </c>
      <c r="N24" s="4" t="s">
        <v>34</v>
      </c>
      <c r="O24" s="4" t="s">
        <v>34</v>
      </c>
      <c r="P24" s="4" t="s">
        <v>49</v>
      </c>
      <c r="Q24" s="4" t="s">
        <v>36</v>
      </c>
      <c r="R24" s="5" t="s">
        <v>43</v>
      </c>
    </row>
    <row r="25" spans="1:18" x14ac:dyDescent="0.3">
      <c r="A25" t="s">
        <v>3</v>
      </c>
      <c r="B25" t="s">
        <v>4</v>
      </c>
      <c r="C25" t="s">
        <v>5</v>
      </c>
      <c r="D25">
        <v>117</v>
      </c>
      <c r="E25">
        <v>1</v>
      </c>
      <c r="F25" t="s">
        <v>42</v>
      </c>
      <c r="G25" t="s">
        <v>32</v>
      </c>
      <c r="H25" t="s">
        <v>50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49</v>
      </c>
      <c r="Q25" t="s">
        <v>36</v>
      </c>
      <c r="R25" s="1" t="s">
        <v>39</v>
      </c>
    </row>
    <row r="26" spans="1:18" x14ac:dyDescent="0.3">
      <c r="A26" s="4" t="s">
        <v>3</v>
      </c>
      <c r="B26" s="4" t="s">
        <v>4</v>
      </c>
      <c r="C26" s="4" t="s">
        <v>5</v>
      </c>
      <c r="D26" s="4">
        <v>119</v>
      </c>
      <c r="E26" s="4">
        <v>1</v>
      </c>
      <c r="F26" s="4" t="s">
        <v>42</v>
      </c>
      <c r="G26" s="4" t="s">
        <v>32</v>
      </c>
      <c r="H26" s="4" t="s">
        <v>40</v>
      </c>
      <c r="I26" s="4" t="s">
        <v>34</v>
      </c>
      <c r="J26" s="4" t="s">
        <v>34</v>
      </c>
      <c r="K26" s="4" t="s">
        <v>34</v>
      </c>
      <c r="L26" s="4" t="s">
        <v>41</v>
      </c>
      <c r="M26" s="4" t="s">
        <v>34</v>
      </c>
      <c r="N26" s="4" t="s">
        <v>34</v>
      </c>
      <c r="O26" s="4" t="s">
        <v>34</v>
      </c>
      <c r="P26" s="4" t="s">
        <v>35</v>
      </c>
      <c r="Q26" s="4" t="s">
        <v>36</v>
      </c>
      <c r="R26" s="5" t="s">
        <v>38</v>
      </c>
    </row>
    <row r="27" spans="1:18" x14ac:dyDescent="0.3">
      <c r="A27" t="s">
        <v>3</v>
      </c>
      <c r="B27" t="s">
        <v>4</v>
      </c>
      <c r="C27" t="s">
        <v>5</v>
      </c>
      <c r="D27">
        <v>127</v>
      </c>
      <c r="E27">
        <v>1</v>
      </c>
      <c r="F27" t="s">
        <v>37</v>
      </c>
      <c r="G27" t="s">
        <v>32</v>
      </c>
      <c r="H27" t="s">
        <v>50</v>
      </c>
      <c r="I27" t="s">
        <v>34</v>
      </c>
      <c r="J27" t="s">
        <v>34</v>
      </c>
      <c r="K27" t="s">
        <v>34</v>
      </c>
      <c r="L27" t="s">
        <v>41</v>
      </c>
      <c r="M27" t="s">
        <v>34</v>
      </c>
      <c r="N27" t="s">
        <v>34</v>
      </c>
      <c r="O27" t="s">
        <v>34</v>
      </c>
      <c r="P27" t="s">
        <v>35</v>
      </c>
      <c r="Q27" t="s">
        <v>36</v>
      </c>
      <c r="R27" s="1" t="s">
        <v>38</v>
      </c>
    </row>
    <row r="28" spans="1:18" x14ac:dyDescent="0.3">
      <c r="A28" s="4" t="s">
        <v>3</v>
      </c>
      <c r="B28" s="4" t="s">
        <v>4</v>
      </c>
      <c r="C28" s="4" t="s">
        <v>5</v>
      </c>
      <c r="D28" s="4">
        <v>130</v>
      </c>
      <c r="E28" s="4">
        <v>2</v>
      </c>
      <c r="F28" s="4" t="s">
        <v>42</v>
      </c>
      <c r="G28" s="4" t="s">
        <v>32</v>
      </c>
      <c r="H28" s="4" t="s">
        <v>40</v>
      </c>
      <c r="I28" s="4" t="s">
        <v>34</v>
      </c>
      <c r="J28" s="4" t="s">
        <v>34</v>
      </c>
      <c r="K28" s="4" t="s">
        <v>34</v>
      </c>
      <c r="L28" s="4" t="s">
        <v>41</v>
      </c>
      <c r="M28" s="4" t="s">
        <v>34</v>
      </c>
      <c r="N28" s="4" t="s">
        <v>34</v>
      </c>
      <c r="O28" s="4" t="s">
        <v>34</v>
      </c>
      <c r="P28" s="4" t="s">
        <v>49</v>
      </c>
      <c r="Q28" s="4" t="s">
        <v>36</v>
      </c>
      <c r="R28" s="5" t="s">
        <v>43</v>
      </c>
    </row>
    <row r="29" spans="1:18" x14ac:dyDescent="0.3">
      <c r="A29" t="s">
        <v>3</v>
      </c>
      <c r="B29" t="s">
        <v>4</v>
      </c>
      <c r="C29" t="s">
        <v>5</v>
      </c>
      <c r="D29">
        <v>134</v>
      </c>
      <c r="E29">
        <v>1</v>
      </c>
      <c r="F29" t="s">
        <v>42</v>
      </c>
      <c r="G29" t="s">
        <v>32</v>
      </c>
      <c r="H29" t="s">
        <v>52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49</v>
      </c>
      <c r="Q29" t="s">
        <v>36</v>
      </c>
      <c r="R29" s="1" t="s">
        <v>38</v>
      </c>
    </row>
    <row r="30" spans="1:18" x14ac:dyDescent="0.3">
      <c r="A30" s="4" t="s">
        <v>3</v>
      </c>
      <c r="B30" s="4" t="s">
        <v>4</v>
      </c>
      <c r="C30" s="4" t="s">
        <v>5</v>
      </c>
      <c r="D30" s="4">
        <v>147</v>
      </c>
      <c r="E30" s="4">
        <v>1</v>
      </c>
      <c r="F30" s="4" t="s">
        <v>53</v>
      </c>
      <c r="G30" s="4" t="s">
        <v>46</v>
      </c>
      <c r="H30" s="4" t="s">
        <v>54</v>
      </c>
      <c r="I30" s="4" t="s">
        <v>34</v>
      </c>
      <c r="J30" s="4" t="s">
        <v>34</v>
      </c>
      <c r="K30" s="4" t="s">
        <v>41</v>
      </c>
      <c r="L30" s="4" t="s">
        <v>41</v>
      </c>
      <c r="M30" s="4" t="s">
        <v>34</v>
      </c>
      <c r="N30" s="4" t="s">
        <v>34</v>
      </c>
      <c r="O30" s="4" t="s">
        <v>41</v>
      </c>
      <c r="P30" s="4" t="s">
        <v>49</v>
      </c>
      <c r="Q30" s="4" t="s">
        <v>36</v>
      </c>
      <c r="R30" s="5" t="s">
        <v>54</v>
      </c>
    </row>
    <row r="31" spans="1:18" x14ac:dyDescent="0.3">
      <c r="A31" t="s">
        <v>3</v>
      </c>
      <c r="B31" t="s">
        <v>4</v>
      </c>
      <c r="C31" t="s">
        <v>5</v>
      </c>
      <c r="D31">
        <v>153</v>
      </c>
      <c r="E31">
        <v>3</v>
      </c>
      <c r="F31" t="s">
        <v>58</v>
      </c>
      <c r="G31" t="s">
        <v>46</v>
      </c>
      <c r="H31" t="s">
        <v>55</v>
      </c>
      <c r="I31" t="s">
        <v>34</v>
      </c>
      <c r="J31" t="s">
        <v>34</v>
      </c>
      <c r="K31" t="s">
        <v>34</v>
      </c>
      <c r="L31" t="s">
        <v>34</v>
      </c>
      <c r="M31" t="s">
        <v>41</v>
      </c>
      <c r="N31" t="s">
        <v>34</v>
      </c>
      <c r="O31" t="s">
        <v>34</v>
      </c>
      <c r="P31" t="s">
        <v>35</v>
      </c>
      <c r="Q31" t="s">
        <v>56</v>
      </c>
      <c r="R31" s="1" t="s">
        <v>57</v>
      </c>
    </row>
    <row r="32" spans="1:18" x14ac:dyDescent="0.3">
      <c r="A32" s="4" t="s">
        <v>3</v>
      </c>
      <c r="B32" s="4" t="s">
        <v>4</v>
      </c>
      <c r="C32" s="4" t="s">
        <v>5</v>
      </c>
      <c r="D32" s="4">
        <v>161</v>
      </c>
      <c r="E32" s="4">
        <v>1</v>
      </c>
      <c r="F32" s="4" t="s">
        <v>58</v>
      </c>
      <c r="G32" s="4" t="s">
        <v>46</v>
      </c>
      <c r="H32" s="4" t="s">
        <v>32</v>
      </c>
      <c r="I32" s="4" t="s">
        <v>34</v>
      </c>
      <c r="J32" s="4" t="s">
        <v>34</v>
      </c>
      <c r="K32" s="4" t="s">
        <v>34</v>
      </c>
      <c r="L32" s="4" t="s">
        <v>34</v>
      </c>
      <c r="M32" s="4" t="s">
        <v>34</v>
      </c>
      <c r="N32" s="4" t="s">
        <v>34</v>
      </c>
      <c r="O32" s="4" t="s">
        <v>34</v>
      </c>
      <c r="P32" s="4" t="s">
        <v>35</v>
      </c>
      <c r="Q32" s="4" t="s">
        <v>56</v>
      </c>
      <c r="R32" s="5" t="s">
        <v>59</v>
      </c>
    </row>
    <row r="33" spans="1:18" x14ac:dyDescent="0.3">
      <c r="A33" t="s">
        <v>3</v>
      </c>
      <c r="B33" t="s">
        <v>4</v>
      </c>
      <c r="C33" t="s">
        <v>5</v>
      </c>
      <c r="D33">
        <v>164</v>
      </c>
      <c r="E33">
        <v>3</v>
      </c>
      <c r="F33" t="s">
        <v>37</v>
      </c>
      <c r="G33" t="s">
        <v>46</v>
      </c>
      <c r="H33" t="s">
        <v>33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35</v>
      </c>
      <c r="Q33" t="s">
        <v>56</v>
      </c>
      <c r="R33" s="1" t="s">
        <v>43</v>
      </c>
    </row>
    <row r="34" spans="1:18" x14ac:dyDescent="0.3">
      <c r="A34" s="4" t="s">
        <v>3</v>
      </c>
      <c r="B34" s="4" t="s">
        <v>4</v>
      </c>
      <c r="C34" s="4" t="s">
        <v>5</v>
      </c>
      <c r="D34" s="4">
        <v>166</v>
      </c>
      <c r="E34" s="4">
        <v>3</v>
      </c>
      <c r="F34" s="4" t="s">
        <v>58</v>
      </c>
      <c r="G34" s="4" t="s">
        <v>46</v>
      </c>
      <c r="H34" s="4" t="s">
        <v>60</v>
      </c>
      <c r="I34" s="4" t="s">
        <v>34</v>
      </c>
      <c r="J34" s="4" t="s">
        <v>34</v>
      </c>
      <c r="K34" s="4" t="s">
        <v>34</v>
      </c>
      <c r="L34" s="4" t="s">
        <v>34</v>
      </c>
      <c r="M34" s="4" t="s">
        <v>34</v>
      </c>
      <c r="N34" s="4" t="s">
        <v>34</v>
      </c>
      <c r="O34" s="4" t="s">
        <v>34</v>
      </c>
      <c r="P34" s="4" t="s">
        <v>35</v>
      </c>
      <c r="Q34" s="4" t="s">
        <v>56</v>
      </c>
      <c r="R34" s="5" t="s">
        <v>59</v>
      </c>
    </row>
    <row r="35" spans="1:18" x14ac:dyDescent="0.3">
      <c r="A35" t="s">
        <v>3</v>
      </c>
      <c r="B35" t="s">
        <v>4</v>
      </c>
      <c r="C35" t="s">
        <v>5</v>
      </c>
      <c r="D35">
        <v>176</v>
      </c>
      <c r="E35">
        <v>1</v>
      </c>
      <c r="F35" t="s">
        <v>37</v>
      </c>
      <c r="G35" t="s">
        <v>32</v>
      </c>
      <c r="H35" t="s">
        <v>61</v>
      </c>
      <c r="I35" t="s">
        <v>34</v>
      </c>
      <c r="J35" t="s">
        <v>41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35</v>
      </c>
      <c r="Q35" t="s">
        <v>56</v>
      </c>
      <c r="R35" s="1" t="s">
        <v>43</v>
      </c>
    </row>
    <row r="36" spans="1:18" x14ac:dyDescent="0.3">
      <c r="A36" s="4" t="s">
        <v>3</v>
      </c>
      <c r="B36" s="4" t="s">
        <v>4</v>
      </c>
      <c r="C36" s="4" t="s">
        <v>5</v>
      </c>
      <c r="D36" s="4">
        <v>192</v>
      </c>
      <c r="E36" s="4">
        <v>3</v>
      </c>
      <c r="F36" s="4" t="s">
        <v>37</v>
      </c>
      <c r="G36" s="4" t="s">
        <v>32</v>
      </c>
      <c r="H36" s="4" t="s">
        <v>61</v>
      </c>
      <c r="I36" s="4" t="s">
        <v>41</v>
      </c>
      <c r="J36" s="4" t="s">
        <v>34</v>
      </c>
      <c r="K36" s="4" t="s">
        <v>34</v>
      </c>
      <c r="L36" s="4" t="s">
        <v>34</v>
      </c>
      <c r="M36" s="4" t="s">
        <v>34</v>
      </c>
      <c r="N36" s="4" t="s">
        <v>34</v>
      </c>
      <c r="O36" s="4" t="s">
        <v>34</v>
      </c>
      <c r="P36" s="4" t="s">
        <v>35</v>
      </c>
      <c r="Q36" s="4" t="s">
        <v>56</v>
      </c>
      <c r="R36" s="5" t="s">
        <v>63</v>
      </c>
    </row>
    <row r="37" spans="1:18" x14ac:dyDescent="0.3">
      <c r="A37" t="s">
        <v>3</v>
      </c>
      <c r="B37" t="s">
        <v>4</v>
      </c>
      <c r="C37" t="s">
        <v>5</v>
      </c>
      <c r="D37">
        <v>210</v>
      </c>
      <c r="E37">
        <v>3</v>
      </c>
      <c r="F37" t="s">
        <v>42</v>
      </c>
      <c r="G37" t="s">
        <v>32</v>
      </c>
      <c r="H37" t="s">
        <v>40</v>
      </c>
      <c r="I37" t="s">
        <v>34</v>
      </c>
      <c r="J37" t="s">
        <v>34</v>
      </c>
      <c r="K37" t="s">
        <v>34</v>
      </c>
      <c r="L37" t="s">
        <v>41</v>
      </c>
      <c r="M37" t="s">
        <v>34</v>
      </c>
      <c r="N37" t="s">
        <v>34</v>
      </c>
      <c r="O37" t="s">
        <v>34</v>
      </c>
      <c r="P37" t="s">
        <v>49</v>
      </c>
      <c r="Q37" t="s">
        <v>62</v>
      </c>
      <c r="R37" s="1" t="s">
        <v>64</v>
      </c>
    </row>
    <row r="38" spans="1:18" x14ac:dyDescent="0.3">
      <c r="A38" s="4" t="s">
        <v>3</v>
      </c>
      <c r="B38" s="4" t="s">
        <v>4</v>
      </c>
      <c r="C38" s="4" t="s">
        <v>5</v>
      </c>
      <c r="D38" s="4">
        <v>228</v>
      </c>
      <c r="E38" s="4">
        <v>3</v>
      </c>
      <c r="F38" s="4" t="s">
        <v>42</v>
      </c>
      <c r="G38" s="4" t="s">
        <v>32</v>
      </c>
      <c r="H38" s="4" t="s">
        <v>40</v>
      </c>
      <c r="I38" s="4" t="s">
        <v>41</v>
      </c>
      <c r="J38" s="4" t="s">
        <v>34</v>
      </c>
      <c r="K38" s="4" t="s">
        <v>34</v>
      </c>
      <c r="L38" s="4" t="s">
        <v>34</v>
      </c>
      <c r="M38" s="4" t="s">
        <v>34</v>
      </c>
      <c r="N38" s="4" t="s">
        <v>34</v>
      </c>
      <c r="O38" s="4" t="s">
        <v>34</v>
      </c>
      <c r="P38" s="4" t="s">
        <v>49</v>
      </c>
      <c r="Q38" s="4" t="s">
        <v>62</v>
      </c>
      <c r="R38" s="5" t="s">
        <v>63</v>
      </c>
    </row>
    <row r="39" spans="1:18" x14ac:dyDescent="0.3">
      <c r="A39" t="s">
        <v>3</v>
      </c>
      <c r="B39" t="s">
        <v>4</v>
      </c>
      <c r="C39" t="s">
        <v>5</v>
      </c>
      <c r="D39">
        <v>236</v>
      </c>
      <c r="E39">
        <v>3</v>
      </c>
      <c r="F39" t="s">
        <v>37</v>
      </c>
      <c r="G39" t="s">
        <v>32</v>
      </c>
      <c r="H39" t="s">
        <v>33</v>
      </c>
      <c r="I39" t="s">
        <v>41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35</v>
      </c>
      <c r="Q39" t="s">
        <v>62</v>
      </c>
      <c r="R39" s="1" t="s">
        <v>63</v>
      </c>
    </row>
    <row r="40" spans="1:18" x14ac:dyDescent="0.3">
      <c r="A40" s="4" t="s">
        <v>3</v>
      </c>
      <c r="B40" s="4" t="s">
        <v>4</v>
      </c>
      <c r="C40" s="4" t="s">
        <v>5</v>
      </c>
      <c r="D40" s="4">
        <v>240</v>
      </c>
      <c r="E40" s="4">
        <v>3</v>
      </c>
      <c r="F40" s="4" t="s">
        <v>42</v>
      </c>
      <c r="G40" s="4" t="s">
        <v>32</v>
      </c>
      <c r="H40" s="4" t="s">
        <v>40</v>
      </c>
      <c r="I40" s="4" t="s">
        <v>34</v>
      </c>
      <c r="J40" s="4" t="s">
        <v>34</v>
      </c>
      <c r="K40" s="4" t="s">
        <v>34</v>
      </c>
      <c r="L40" s="4" t="s">
        <v>34</v>
      </c>
      <c r="M40" s="4" t="s">
        <v>34</v>
      </c>
      <c r="N40" s="4" t="s">
        <v>34</v>
      </c>
      <c r="O40" s="4" t="s">
        <v>34</v>
      </c>
      <c r="P40" s="4" t="s">
        <v>49</v>
      </c>
      <c r="Q40" s="4" t="s">
        <v>62</v>
      </c>
      <c r="R40" s="5" t="s">
        <v>43</v>
      </c>
    </row>
    <row r="41" spans="1:18" x14ac:dyDescent="0.3">
      <c r="A41" t="s">
        <v>3</v>
      </c>
      <c r="B41" t="s">
        <v>4</v>
      </c>
      <c r="C41" t="s">
        <v>5</v>
      </c>
      <c r="D41">
        <v>271</v>
      </c>
      <c r="E41">
        <v>1</v>
      </c>
      <c r="F41" t="s">
        <v>37</v>
      </c>
      <c r="G41" t="s">
        <v>32</v>
      </c>
      <c r="H41" t="s">
        <v>65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49</v>
      </c>
      <c r="Q41" t="s">
        <v>62</v>
      </c>
      <c r="R41" s="1" t="s">
        <v>66</v>
      </c>
    </row>
    <row r="42" spans="1:18" x14ac:dyDescent="0.3">
      <c r="A42" s="4" t="s">
        <v>3</v>
      </c>
      <c r="B42" s="4" t="s">
        <v>4</v>
      </c>
      <c r="C42" s="4" t="s">
        <v>5</v>
      </c>
      <c r="D42" s="4">
        <v>275</v>
      </c>
      <c r="E42" s="4">
        <v>1</v>
      </c>
      <c r="F42" s="4" t="s">
        <v>42</v>
      </c>
      <c r="G42" s="4" t="s">
        <v>32</v>
      </c>
      <c r="H42" s="4" t="s">
        <v>40</v>
      </c>
      <c r="I42" s="4" t="s">
        <v>34</v>
      </c>
      <c r="J42" s="4" t="s">
        <v>34</v>
      </c>
      <c r="K42" s="4" t="s">
        <v>41</v>
      </c>
      <c r="L42" s="4" t="s">
        <v>41</v>
      </c>
      <c r="M42" s="4" t="s">
        <v>34</v>
      </c>
      <c r="N42" s="4" t="s">
        <v>34</v>
      </c>
      <c r="O42" s="4" t="s">
        <v>34</v>
      </c>
      <c r="P42" s="4" t="s">
        <v>49</v>
      </c>
      <c r="Q42" s="4" t="s">
        <v>62</v>
      </c>
      <c r="R42" s="5" t="s">
        <v>63</v>
      </c>
    </row>
    <row r="43" spans="1:18" x14ac:dyDescent="0.3">
      <c r="A43" t="s">
        <v>18</v>
      </c>
      <c r="B43" t="s">
        <v>19</v>
      </c>
      <c r="C43" t="s">
        <v>20</v>
      </c>
      <c r="D43">
        <v>7</v>
      </c>
      <c r="E43">
        <v>1</v>
      </c>
      <c r="F43" t="s">
        <v>37</v>
      </c>
      <c r="G43" t="s">
        <v>67</v>
      </c>
      <c r="H43" t="s">
        <v>33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35</v>
      </c>
      <c r="Q43" t="s">
        <v>36</v>
      </c>
      <c r="R43" s="1" t="s">
        <v>91</v>
      </c>
    </row>
    <row r="44" spans="1:18" x14ac:dyDescent="0.3">
      <c r="A44" s="4" t="s">
        <v>18</v>
      </c>
      <c r="B44" s="4" t="s">
        <v>19</v>
      </c>
      <c r="C44" s="4" t="s">
        <v>20</v>
      </c>
      <c r="D44" s="4">
        <v>10</v>
      </c>
      <c r="E44" s="4">
        <v>3</v>
      </c>
      <c r="F44" s="4" t="s">
        <v>42</v>
      </c>
      <c r="G44" s="4" t="s">
        <v>67</v>
      </c>
      <c r="H44" s="4" t="s">
        <v>92</v>
      </c>
      <c r="I44" s="4" t="s">
        <v>34</v>
      </c>
      <c r="J44" s="4" t="s">
        <v>34</v>
      </c>
      <c r="K44" s="4" t="s">
        <v>34</v>
      </c>
      <c r="L44" s="4" t="s">
        <v>34</v>
      </c>
      <c r="M44" s="4" t="s">
        <v>34</v>
      </c>
      <c r="N44" s="4" t="s">
        <v>34</v>
      </c>
      <c r="O44" s="4" t="s">
        <v>34</v>
      </c>
      <c r="P44" s="4" t="s">
        <v>35</v>
      </c>
      <c r="Q44" s="4" t="s">
        <v>36</v>
      </c>
      <c r="R44" s="5" t="s">
        <v>161</v>
      </c>
    </row>
    <row r="45" spans="1:18" x14ac:dyDescent="0.3">
      <c r="A45" t="s">
        <v>18</v>
      </c>
      <c r="B45" t="s">
        <v>19</v>
      </c>
      <c r="C45" t="s">
        <v>20</v>
      </c>
      <c r="D45">
        <v>12</v>
      </c>
      <c r="E45">
        <v>1</v>
      </c>
      <c r="F45" t="s">
        <v>37</v>
      </c>
      <c r="G45" t="s">
        <v>67</v>
      </c>
      <c r="H45" t="s">
        <v>33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35</v>
      </c>
      <c r="Q45" t="s">
        <v>36</v>
      </c>
      <c r="R45" s="1" t="s">
        <v>47</v>
      </c>
    </row>
    <row r="46" spans="1:18" x14ac:dyDescent="0.3">
      <c r="A46" s="4" t="s">
        <v>18</v>
      </c>
      <c r="B46" s="4" t="s">
        <v>19</v>
      </c>
      <c r="C46" s="4" t="s">
        <v>20</v>
      </c>
      <c r="D46" s="4">
        <v>15</v>
      </c>
      <c r="E46" s="4">
        <v>3</v>
      </c>
      <c r="F46" s="4" t="s">
        <v>42</v>
      </c>
      <c r="G46" s="4" t="s">
        <v>67</v>
      </c>
      <c r="H46" s="4" t="s">
        <v>40</v>
      </c>
      <c r="I46" s="4" t="s">
        <v>34</v>
      </c>
      <c r="J46" s="4" t="s">
        <v>34</v>
      </c>
      <c r="K46" s="4" t="s">
        <v>34</v>
      </c>
      <c r="L46" s="4" t="s">
        <v>34</v>
      </c>
      <c r="M46" s="4" t="s">
        <v>34</v>
      </c>
      <c r="N46" s="4" t="s">
        <v>34</v>
      </c>
      <c r="O46" s="4" t="s">
        <v>34</v>
      </c>
      <c r="P46" s="4" t="s">
        <v>35</v>
      </c>
      <c r="Q46" s="4" t="s">
        <v>36</v>
      </c>
      <c r="R46" s="5" t="s">
        <v>43</v>
      </c>
    </row>
    <row r="47" spans="1:18" x14ac:dyDescent="0.3">
      <c r="A47" t="s">
        <v>18</v>
      </c>
      <c r="B47" t="s">
        <v>19</v>
      </c>
      <c r="C47" t="s">
        <v>20</v>
      </c>
      <c r="D47">
        <v>19</v>
      </c>
      <c r="E47">
        <v>1</v>
      </c>
      <c r="F47" t="s">
        <v>42</v>
      </c>
      <c r="G47" t="s">
        <v>67</v>
      </c>
      <c r="H47" t="s">
        <v>93</v>
      </c>
      <c r="I47" t="s">
        <v>41</v>
      </c>
      <c r="J47" t="s">
        <v>41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49</v>
      </c>
      <c r="Q47" t="s">
        <v>36</v>
      </c>
      <c r="R47" s="1" t="s">
        <v>94</v>
      </c>
    </row>
    <row r="48" spans="1:18" x14ac:dyDescent="0.3">
      <c r="A48" s="4" t="s">
        <v>18</v>
      </c>
      <c r="B48" s="4" t="s">
        <v>19</v>
      </c>
      <c r="C48" s="4" t="s">
        <v>20</v>
      </c>
      <c r="D48" s="4">
        <v>26</v>
      </c>
      <c r="E48" s="4">
        <v>1</v>
      </c>
      <c r="F48" s="4" t="s">
        <v>42</v>
      </c>
      <c r="G48" s="4" t="s">
        <v>32</v>
      </c>
      <c r="H48" s="4" t="s">
        <v>40</v>
      </c>
      <c r="I48" s="4" t="s">
        <v>34</v>
      </c>
      <c r="J48" s="4" t="s">
        <v>34</v>
      </c>
      <c r="K48" s="4" t="s">
        <v>34</v>
      </c>
      <c r="L48" s="4" t="s">
        <v>34</v>
      </c>
      <c r="M48" s="4" t="s">
        <v>34</v>
      </c>
      <c r="N48" s="4" t="s">
        <v>34</v>
      </c>
      <c r="O48" s="4" t="s">
        <v>34</v>
      </c>
      <c r="P48" s="4" t="s">
        <v>49</v>
      </c>
      <c r="Q48" s="4" t="s">
        <v>36</v>
      </c>
      <c r="R48" s="5" t="s">
        <v>43</v>
      </c>
    </row>
    <row r="49" spans="1:18" x14ac:dyDescent="0.3">
      <c r="A49" t="s">
        <v>18</v>
      </c>
      <c r="B49" t="s">
        <v>19</v>
      </c>
      <c r="C49" t="s">
        <v>20</v>
      </c>
      <c r="D49">
        <v>35</v>
      </c>
      <c r="E49">
        <v>1</v>
      </c>
      <c r="F49" t="s">
        <v>42</v>
      </c>
      <c r="G49" t="s">
        <v>67</v>
      </c>
      <c r="H49" t="s">
        <v>96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41</v>
      </c>
      <c r="O49" t="s">
        <v>34</v>
      </c>
      <c r="P49" t="s">
        <v>49</v>
      </c>
      <c r="Q49" t="s">
        <v>36</v>
      </c>
      <c r="R49" s="1" t="s">
        <v>43</v>
      </c>
    </row>
    <row r="50" spans="1:18" x14ac:dyDescent="0.3">
      <c r="A50" s="4" t="s">
        <v>18</v>
      </c>
      <c r="B50" s="4" t="s">
        <v>19</v>
      </c>
      <c r="C50" s="4" t="s">
        <v>20</v>
      </c>
      <c r="D50" s="4">
        <v>40</v>
      </c>
      <c r="E50" s="4">
        <v>1</v>
      </c>
      <c r="F50" s="4" t="s">
        <v>37</v>
      </c>
      <c r="G50" s="4" t="s">
        <v>32</v>
      </c>
      <c r="H50" s="4" t="s">
        <v>97</v>
      </c>
      <c r="I50" s="4" t="s">
        <v>34</v>
      </c>
      <c r="J50" s="4" t="s">
        <v>34</v>
      </c>
      <c r="K50" s="4" t="s">
        <v>34</v>
      </c>
      <c r="L50" s="4" t="s">
        <v>34</v>
      </c>
      <c r="M50" s="4" t="s">
        <v>34</v>
      </c>
      <c r="N50" s="4" t="s">
        <v>41</v>
      </c>
      <c r="O50" s="4" t="s">
        <v>34</v>
      </c>
      <c r="P50" s="4" t="s">
        <v>49</v>
      </c>
      <c r="Q50" s="4" t="s">
        <v>36</v>
      </c>
      <c r="R50" s="5" t="s">
        <v>43</v>
      </c>
    </row>
    <row r="51" spans="1:18" x14ac:dyDescent="0.3">
      <c r="A51" t="s">
        <v>18</v>
      </c>
      <c r="B51" t="s">
        <v>19</v>
      </c>
      <c r="C51" t="s">
        <v>20</v>
      </c>
      <c r="D51">
        <v>46</v>
      </c>
      <c r="E51">
        <v>1</v>
      </c>
      <c r="F51" t="s">
        <v>42</v>
      </c>
      <c r="G51" t="s">
        <v>67</v>
      </c>
      <c r="H51" t="s">
        <v>98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49</v>
      </c>
      <c r="Q51" t="s">
        <v>36</v>
      </c>
      <c r="R51" s="1" t="s">
        <v>91</v>
      </c>
    </row>
    <row r="52" spans="1:18" x14ac:dyDescent="0.3">
      <c r="A52" s="4" t="s">
        <v>18</v>
      </c>
      <c r="B52" s="4" t="s">
        <v>19</v>
      </c>
      <c r="C52" s="4" t="s">
        <v>20</v>
      </c>
      <c r="D52" s="4">
        <v>66</v>
      </c>
      <c r="E52" s="4">
        <v>1</v>
      </c>
      <c r="F52" s="4" t="s">
        <v>42</v>
      </c>
      <c r="G52" s="4" t="s">
        <v>67</v>
      </c>
      <c r="H52" s="4" t="s">
        <v>40</v>
      </c>
      <c r="I52" s="4" t="s">
        <v>34</v>
      </c>
      <c r="J52" s="4" t="s">
        <v>34</v>
      </c>
      <c r="K52" s="4" t="s">
        <v>34</v>
      </c>
      <c r="L52" s="4" t="s">
        <v>34</v>
      </c>
      <c r="M52" s="4" t="s">
        <v>34</v>
      </c>
      <c r="N52" s="4" t="s">
        <v>34</v>
      </c>
      <c r="O52" s="4" t="s">
        <v>34</v>
      </c>
      <c r="P52" s="4" t="s">
        <v>35</v>
      </c>
      <c r="Q52" s="4" t="s">
        <v>36</v>
      </c>
      <c r="R52" s="5" t="s">
        <v>99</v>
      </c>
    </row>
    <row r="53" spans="1:18" x14ac:dyDescent="0.3">
      <c r="A53" t="s">
        <v>18</v>
      </c>
      <c r="B53" t="s">
        <v>19</v>
      </c>
      <c r="C53" t="s">
        <v>20</v>
      </c>
      <c r="D53">
        <v>79</v>
      </c>
      <c r="E53">
        <v>1</v>
      </c>
      <c r="F53" t="s">
        <v>42</v>
      </c>
      <c r="G53" t="s">
        <v>67</v>
      </c>
      <c r="H53" t="s">
        <v>40</v>
      </c>
      <c r="I53" t="s">
        <v>34</v>
      </c>
      <c r="J53" t="s">
        <v>41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35</v>
      </c>
      <c r="Q53" t="s">
        <v>36</v>
      </c>
      <c r="R53" s="1" t="s">
        <v>38</v>
      </c>
    </row>
    <row r="54" spans="1:18" x14ac:dyDescent="0.3">
      <c r="A54" s="4" t="s">
        <v>18</v>
      </c>
      <c r="B54" s="4" t="s">
        <v>19</v>
      </c>
      <c r="C54" s="4" t="s">
        <v>20</v>
      </c>
      <c r="D54" s="4">
        <v>83</v>
      </c>
      <c r="E54" s="4">
        <v>1</v>
      </c>
      <c r="F54" s="4" t="s">
        <v>42</v>
      </c>
      <c r="G54" s="4" t="s">
        <v>100</v>
      </c>
      <c r="H54" s="4" t="s">
        <v>101</v>
      </c>
      <c r="I54" s="4" t="s">
        <v>34</v>
      </c>
      <c r="J54" s="4" t="s">
        <v>34</v>
      </c>
      <c r="K54" s="4" t="s">
        <v>34</v>
      </c>
      <c r="L54" s="4" t="s">
        <v>34</v>
      </c>
      <c r="M54" s="4" t="s">
        <v>41</v>
      </c>
      <c r="N54" s="4" t="s">
        <v>34</v>
      </c>
      <c r="O54" s="4" t="s">
        <v>34</v>
      </c>
      <c r="P54" s="4" t="s">
        <v>35</v>
      </c>
      <c r="Q54" s="4" t="s">
        <v>36</v>
      </c>
      <c r="R54" s="5" t="s">
        <v>102</v>
      </c>
    </row>
    <row r="55" spans="1:18" x14ac:dyDescent="0.3">
      <c r="A55" t="s">
        <v>18</v>
      </c>
      <c r="B55" t="s">
        <v>19</v>
      </c>
      <c r="C55" t="s">
        <v>20</v>
      </c>
      <c r="D55">
        <v>95</v>
      </c>
      <c r="E55">
        <v>1</v>
      </c>
      <c r="F55" t="s">
        <v>42</v>
      </c>
      <c r="G55" t="s">
        <v>67</v>
      </c>
      <c r="H55" t="s">
        <v>101</v>
      </c>
      <c r="I55" t="s">
        <v>41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49</v>
      </c>
      <c r="Q55" t="s">
        <v>36</v>
      </c>
      <c r="R55" s="1" t="s">
        <v>43</v>
      </c>
    </row>
    <row r="56" spans="1:18" x14ac:dyDescent="0.3">
      <c r="A56" s="4" t="s">
        <v>18</v>
      </c>
      <c r="B56" s="4" t="s">
        <v>19</v>
      </c>
      <c r="C56" s="4" t="s">
        <v>20</v>
      </c>
      <c r="D56" s="4">
        <v>98</v>
      </c>
      <c r="E56" s="4">
        <v>1</v>
      </c>
      <c r="F56" s="4" t="s">
        <v>153</v>
      </c>
      <c r="G56" s="4" t="s">
        <v>67</v>
      </c>
      <c r="H56" s="4" t="s">
        <v>54</v>
      </c>
      <c r="I56" s="4" t="s">
        <v>34</v>
      </c>
      <c r="J56" s="4" t="s">
        <v>34</v>
      </c>
      <c r="K56" s="4" t="s">
        <v>41</v>
      </c>
      <c r="L56" s="4" t="s">
        <v>41</v>
      </c>
      <c r="M56" s="4" t="s">
        <v>34</v>
      </c>
      <c r="N56" s="4" t="s">
        <v>34</v>
      </c>
      <c r="O56" s="4" t="s">
        <v>34</v>
      </c>
      <c r="P56" s="4" t="s">
        <v>49</v>
      </c>
      <c r="Q56" s="4" t="s">
        <v>36</v>
      </c>
      <c r="R56" s="5" t="s">
        <v>54</v>
      </c>
    </row>
    <row r="57" spans="1:18" x14ac:dyDescent="0.3">
      <c r="A57" t="s">
        <v>18</v>
      </c>
      <c r="B57" t="s">
        <v>19</v>
      </c>
      <c r="C57" t="s">
        <v>20</v>
      </c>
      <c r="D57">
        <v>104</v>
      </c>
      <c r="E57">
        <v>1</v>
      </c>
      <c r="F57" t="s">
        <v>42</v>
      </c>
      <c r="G57" t="s">
        <v>100</v>
      </c>
      <c r="H57" t="s">
        <v>137</v>
      </c>
      <c r="I57" t="s">
        <v>34</v>
      </c>
      <c r="J57" t="s">
        <v>34</v>
      </c>
      <c r="K57" t="s">
        <v>34</v>
      </c>
      <c r="L57" t="s">
        <v>34</v>
      </c>
      <c r="M57" t="s">
        <v>41</v>
      </c>
      <c r="N57" t="s">
        <v>34</v>
      </c>
      <c r="O57" t="s">
        <v>34</v>
      </c>
      <c r="P57" t="s">
        <v>35</v>
      </c>
      <c r="Q57" t="s">
        <v>56</v>
      </c>
      <c r="R57" s="1" t="s">
        <v>102</v>
      </c>
    </row>
    <row r="58" spans="1:18" x14ac:dyDescent="0.3">
      <c r="A58" s="4" t="s">
        <v>18</v>
      </c>
      <c r="B58" s="4" t="s">
        <v>19</v>
      </c>
      <c r="C58" s="4" t="s">
        <v>20</v>
      </c>
      <c r="D58" s="4">
        <v>107</v>
      </c>
      <c r="E58" s="4">
        <v>3</v>
      </c>
      <c r="F58" s="4" t="s">
        <v>42</v>
      </c>
      <c r="G58" s="4" t="s">
        <v>46</v>
      </c>
      <c r="H58" s="4" t="s">
        <v>50</v>
      </c>
      <c r="I58" s="4" t="s">
        <v>34</v>
      </c>
      <c r="J58" s="4" t="s">
        <v>34</v>
      </c>
      <c r="K58" s="4" t="s">
        <v>34</v>
      </c>
      <c r="L58" s="4" t="s">
        <v>34</v>
      </c>
      <c r="M58" s="4" t="s">
        <v>41</v>
      </c>
      <c r="N58" s="4" t="s">
        <v>34</v>
      </c>
      <c r="O58" s="4" t="s">
        <v>34</v>
      </c>
      <c r="P58" s="4" t="s">
        <v>35</v>
      </c>
      <c r="Q58" s="4" t="s">
        <v>56</v>
      </c>
      <c r="R58" s="5" t="s">
        <v>104</v>
      </c>
    </row>
    <row r="59" spans="1:18" x14ac:dyDescent="0.3">
      <c r="A59" t="s">
        <v>18</v>
      </c>
      <c r="B59" t="s">
        <v>19</v>
      </c>
      <c r="C59" t="s">
        <v>20</v>
      </c>
      <c r="D59">
        <v>112</v>
      </c>
      <c r="E59">
        <v>3</v>
      </c>
      <c r="F59" t="s">
        <v>37</v>
      </c>
      <c r="G59" t="s">
        <v>46</v>
      </c>
      <c r="H59" t="s">
        <v>103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35</v>
      </c>
      <c r="Q59" t="s">
        <v>56</v>
      </c>
      <c r="R59" s="1" t="s">
        <v>91</v>
      </c>
    </row>
    <row r="60" spans="1:18" x14ac:dyDescent="0.3">
      <c r="A60" s="4" t="s">
        <v>18</v>
      </c>
      <c r="B60" s="4" t="s">
        <v>19</v>
      </c>
      <c r="C60" s="4" t="s">
        <v>20</v>
      </c>
      <c r="D60" s="4">
        <v>123</v>
      </c>
      <c r="E60" s="4">
        <v>1</v>
      </c>
      <c r="F60" s="4" t="s">
        <v>37</v>
      </c>
      <c r="G60" s="4" t="s">
        <v>67</v>
      </c>
      <c r="H60" s="4" t="s">
        <v>105</v>
      </c>
      <c r="I60" s="4" t="s">
        <v>34</v>
      </c>
      <c r="J60" s="4" t="s">
        <v>41</v>
      </c>
      <c r="K60" s="4" t="s">
        <v>34</v>
      </c>
      <c r="L60" s="4" t="s">
        <v>34</v>
      </c>
      <c r="M60" s="4" t="s">
        <v>34</v>
      </c>
      <c r="N60" s="4" t="s">
        <v>34</v>
      </c>
      <c r="O60" s="4" t="s">
        <v>34</v>
      </c>
      <c r="P60" s="4" t="s">
        <v>35</v>
      </c>
      <c r="Q60" s="4" t="s">
        <v>56</v>
      </c>
      <c r="R60" s="5" t="s">
        <v>91</v>
      </c>
    </row>
    <row r="61" spans="1:18" x14ac:dyDescent="0.3">
      <c r="A61" t="s">
        <v>18</v>
      </c>
      <c r="B61" t="s">
        <v>19</v>
      </c>
      <c r="C61" t="s">
        <v>20</v>
      </c>
      <c r="D61">
        <v>129</v>
      </c>
      <c r="E61">
        <v>1</v>
      </c>
      <c r="F61" t="s">
        <v>58</v>
      </c>
      <c r="G61" t="s">
        <v>67</v>
      </c>
      <c r="H61" t="s">
        <v>55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35</v>
      </c>
      <c r="Q61" t="s">
        <v>56</v>
      </c>
      <c r="R61" s="1" t="s">
        <v>48</v>
      </c>
    </row>
    <row r="62" spans="1:18" x14ac:dyDescent="0.3">
      <c r="A62" s="4" t="s">
        <v>18</v>
      </c>
      <c r="B62" s="4" t="s">
        <v>19</v>
      </c>
      <c r="C62" s="4" t="s">
        <v>20</v>
      </c>
      <c r="D62" s="4">
        <v>135</v>
      </c>
      <c r="E62" s="4">
        <v>3</v>
      </c>
      <c r="F62" s="4" t="s">
        <v>58</v>
      </c>
      <c r="G62" s="4" t="s">
        <v>32</v>
      </c>
      <c r="H62" s="4" t="s">
        <v>106</v>
      </c>
      <c r="I62" s="4" t="s">
        <v>34</v>
      </c>
      <c r="J62" s="4" t="s">
        <v>34</v>
      </c>
      <c r="K62" s="4" t="s">
        <v>34</v>
      </c>
      <c r="L62" s="4" t="s">
        <v>34</v>
      </c>
      <c r="M62" s="4" t="s">
        <v>34</v>
      </c>
      <c r="N62" s="4" t="s">
        <v>34</v>
      </c>
      <c r="O62" s="4" t="s">
        <v>34</v>
      </c>
      <c r="P62" s="4" t="s">
        <v>35</v>
      </c>
      <c r="Q62" s="4" t="s">
        <v>56</v>
      </c>
      <c r="R62" s="5" t="s">
        <v>102</v>
      </c>
    </row>
    <row r="63" spans="1:18" x14ac:dyDescent="0.3">
      <c r="A63" t="s">
        <v>18</v>
      </c>
      <c r="B63" t="s">
        <v>19</v>
      </c>
      <c r="C63" t="s">
        <v>20</v>
      </c>
      <c r="D63">
        <v>138</v>
      </c>
      <c r="E63">
        <v>2</v>
      </c>
      <c r="F63" t="s">
        <v>37</v>
      </c>
      <c r="G63" t="s">
        <v>67</v>
      </c>
      <c r="H63" t="s">
        <v>33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35</v>
      </c>
      <c r="Q63" t="s">
        <v>56</v>
      </c>
      <c r="R63" s="1" t="s">
        <v>38</v>
      </c>
    </row>
    <row r="64" spans="1:18" x14ac:dyDescent="0.3">
      <c r="A64" s="4" t="s">
        <v>18</v>
      </c>
      <c r="B64" s="4" t="s">
        <v>19</v>
      </c>
      <c r="C64" s="4" t="s">
        <v>20</v>
      </c>
      <c r="D64" s="4">
        <v>142</v>
      </c>
      <c r="E64" s="4">
        <v>3</v>
      </c>
      <c r="F64" s="4" t="s">
        <v>107</v>
      </c>
      <c r="G64" s="4" t="s">
        <v>108</v>
      </c>
      <c r="H64" s="4" t="s">
        <v>33</v>
      </c>
      <c r="I64" s="4" t="s">
        <v>34</v>
      </c>
      <c r="J64" s="4" t="s">
        <v>34</v>
      </c>
      <c r="K64" s="4" t="s">
        <v>34</v>
      </c>
      <c r="L64" s="4" t="s">
        <v>34</v>
      </c>
      <c r="M64" s="4" t="s">
        <v>34</v>
      </c>
      <c r="N64" s="4" t="s">
        <v>34</v>
      </c>
      <c r="O64" s="4" t="s">
        <v>34</v>
      </c>
      <c r="P64" s="4" t="s">
        <v>35</v>
      </c>
      <c r="Q64" s="4" t="s">
        <v>56</v>
      </c>
      <c r="R64" s="5" t="s">
        <v>63</v>
      </c>
    </row>
    <row r="65" spans="1:18" x14ac:dyDescent="0.3">
      <c r="A65" t="s">
        <v>18</v>
      </c>
      <c r="B65" t="s">
        <v>19</v>
      </c>
      <c r="C65" t="s">
        <v>20</v>
      </c>
      <c r="D65">
        <v>145</v>
      </c>
      <c r="E65">
        <v>1</v>
      </c>
      <c r="F65" t="s">
        <v>42</v>
      </c>
      <c r="G65" t="s">
        <v>67</v>
      </c>
      <c r="H65" t="s">
        <v>33</v>
      </c>
      <c r="I65" t="s">
        <v>34</v>
      </c>
      <c r="J65" t="s">
        <v>41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35</v>
      </c>
      <c r="Q65" t="s">
        <v>56</v>
      </c>
      <c r="R65" s="1" t="s">
        <v>43</v>
      </c>
    </row>
    <row r="66" spans="1:18" x14ac:dyDescent="0.3">
      <c r="A66" s="4" t="s">
        <v>18</v>
      </c>
      <c r="B66" s="4" t="s">
        <v>19</v>
      </c>
      <c r="C66" s="4" t="s">
        <v>20</v>
      </c>
      <c r="D66" s="4">
        <v>149</v>
      </c>
      <c r="E66" s="4">
        <v>1</v>
      </c>
      <c r="F66" s="4" t="s">
        <v>42</v>
      </c>
      <c r="G66" s="4" t="s">
        <v>67</v>
      </c>
      <c r="H66" s="4" t="s">
        <v>109</v>
      </c>
      <c r="I66" s="4" t="s">
        <v>34</v>
      </c>
      <c r="J66" s="4" t="s">
        <v>34</v>
      </c>
      <c r="K66" s="4" t="s">
        <v>34</v>
      </c>
      <c r="L66" s="4" t="s">
        <v>34</v>
      </c>
      <c r="M66" s="4" t="s">
        <v>34</v>
      </c>
      <c r="N66" s="4" t="s">
        <v>34</v>
      </c>
      <c r="O66" s="4" t="s">
        <v>34</v>
      </c>
      <c r="P66" s="4" t="s">
        <v>49</v>
      </c>
      <c r="Q66" s="4" t="s">
        <v>56</v>
      </c>
      <c r="R66" s="5" t="s">
        <v>43</v>
      </c>
    </row>
    <row r="67" spans="1:18" x14ac:dyDescent="0.3">
      <c r="A67" t="s">
        <v>18</v>
      </c>
      <c r="B67" t="s">
        <v>19</v>
      </c>
      <c r="C67" t="s">
        <v>20</v>
      </c>
      <c r="D67">
        <v>155</v>
      </c>
      <c r="E67">
        <v>1</v>
      </c>
      <c r="F67" t="s">
        <v>42</v>
      </c>
      <c r="G67" t="s">
        <v>67</v>
      </c>
      <c r="H67" t="s">
        <v>40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49</v>
      </c>
      <c r="Q67" t="s">
        <v>56</v>
      </c>
      <c r="R67" s="1" t="s">
        <v>43</v>
      </c>
    </row>
    <row r="68" spans="1:18" x14ac:dyDescent="0.3">
      <c r="A68" s="4" t="s">
        <v>18</v>
      </c>
      <c r="B68" s="4" t="s">
        <v>19</v>
      </c>
      <c r="C68" s="4" t="s">
        <v>20</v>
      </c>
      <c r="D68" s="4">
        <v>176</v>
      </c>
      <c r="E68" s="4">
        <v>1</v>
      </c>
      <c r="F68" s="4" t="s">
        <v>42</v>
      </c>
      <c r="G68" s="4" t="s">
        <v>67</v>
      </c>
      <c r="H68" s="4" t="s">
        <v>110</v>
      </c>
      <c r="I68" s="4" t="s">
        <v>34</v>
      </c>
      <c r="J68" s="4" t="s">
        <v>34</v>
      </c>
      <c r="K68" s="4" t="s">
        <v>34</v>
      </c>
      <c r="L68" s="4" t="s">
        <v>34</v>
      </c>
      <c r="M68" s="4" t="s">
        <v>34</v>
      </c>
      <c r="N68" s="4" t="s">
        <v>41</v>
      </c>
      <c r="O68" s="4" t="s">
        <v>34</v>
      </c>
      <c r="P68" s="4" t="s">
        <v>49</v>
      </c>
      <c r="Q68" s="4" t="s">
        <v>56</v>
      </c>
      <c r="R68" s="5" t="s">
        <v>43</v>
      </c>
    </row>
    <row r="69" spans="1:18" x14ac:dyDescent="0.3">
      <c r="A69" t="s">
        <v>18</v>
      </c>
      <c r="B69" t="s">
        <v>19</v>
      </c>
      <c r="C69" t="s">
        <v>20</v>
      </c>
      <c r="D69">
        <v>183</v>
      </c>
      <c r="E69">
        <v>3</v>
      </c>
      <c r="F69" t="s">
        <v>37</v>
      </c>
      <c r="G69" t="s">
        <v>67</v>
      </c>
      <c r="H69" t="s">
        <v>111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41</v>
      </c>
      <c r="O69" t="s">
        <v>34</v>
      </c>
      <c r="P69" t="s">
        <v>49</v>
      </c>
      <c r="Q69" t="s">
        <v>56</v>
      </c>
      <c r="R69" s="1" t="s">
        <v>91</v>
      </c>
    </row>
    <row r="70" spans="1:18" x14ac:dyDescent="0.3">
      <c r="A70" s="4" t="s">
        <v>18</v>
      </c>
      <c r="B70" s="4" t="s">
        <v>19</v>
      </c>
      <c r="C70" s="4" t="s">
        <v>20</v>
      </c>
      <c r="D70" s="4">
        <v>192</v>
      </c>
      <c r="E70" s="4">
        <v>3</v>
      </c>
      <c r="F70" s="4" t="s">
        <v>37</v>
      </c>
      <c r="G70" s="4" t="s">
        <v>67</v>
      </c>
      <c r="H70" s="4" t="s">
        <v>33</v>
      </c>
      <c r="I70" s="4" t="s">
        <v>34</v>
      </c>
      <c r="J70" s="4" t="s">
        <v>34</v>
      </c>
      <c r="K70" s="4" t="s">
        <v>34</v>
      </c>
      <c r="L70" s="4" t="s">
        <v>34</v>
      </c>
      <c r="M70" s="4" t="s">
        <v>34</v>
      </c>
      <c r="N70" s="4" t="s">
        <v>34</v>
      </c>
      <c r="O70" s="4" t="s">
        <v>34</v>
      </c>
      <c r="P70" s="4" t="s">
        <v>49</v>
      </c>
      <c r="Q70" s="4" t="s">
        <v>56</v>
      </c>
      <c r="R70" s="5" t="s">
        <v>43</v>
      </c>
    </row>
    <row r="71" spans="1:18" x14ac:dyDescent="0.3">
      <c r="A71" t="s">
        <v>18</v>
      </c>
      <c r="B71" t="s">
        <v>19</v>
      </c>
      <c r="C71" t="s">
        <v>20</v>
      </c>
      <c r="D71">
        <v>198</v>
      </c>
      <c r="E71">
        <v>1</v>
      </c>
      <c r="F71" t="s">
        <v>37</v>
      </c>
      <c r="G71" t="s">
        <v>100</v>
      </c>
      <c r="H71" t="s">
        <v>112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49</v>
      </c>
      <c r="Q71" t="s">
        <v>56</v>
      </c>
      <c r="R71" s="1" t="s">
        <v>48</v>
      </c>
    </row>
    <row r="72" spans="1:18" x14ac:dyDescent="0.3">
      <c r="A72" s="4" t="s">
        <v>18</v>
      </c>
      <c r="B72" s="4" t="s">
        <v>19</v>
      </c>
      <c r="C72" s="4" t="s">
        <v>20</v>
      </c>
      <c r="D72" s="4">
        <v>210</v>
      </c>
      <c r="E72" s="4">
        <v>4</v>
      </c>
      <c r="F72" s="4" t="s">
        <v>37</v>
      </c>
      <c r="G72" s="4" t="s">
        <v>67</v>
      </c>
      <c r="H72" s="4" t="s">
        <v>40</v>
      </c>
      <c r="I72" s="4" t="s">
        <v>34</v>
      </c>
      <c r="J72" s="4" t="s">
        <v>34</v>
      </c>
      <c r="K72" s="4" t="s">
        <v>34</v>
      </c>
      <c r="L72" s="4" t="s">
        <v>34</v>
      </c>
      <c r="M72" s="4" t="s">
        <v>34</v>
      </c>
      <c r="N72" s="4" t="s">
        <v>34</v>
      </c>
      <c r="O72" s="4" t="s">
        <v>34</v>
      </c>
      <c r="P72" s="4" t="s">
        <v>35</v>
      </c>
      <c r="Q72" s="4" t="s">
        <v>56</v>
      </c>
      <c r="R72" s="5" t="s">
        <v>237</v>
      </c>
    </row>
    <row r="73" spans="1:18" x14ac:dyDescent="0.3">
      <c r="A73" t="s">
        <v>18</v>
      </c>
      <c r="B73" t="s">
        <v>19</v>
      </c>
      <c r="C73" t="s">
        <v>20</v>
      </c>
      <c r="D73">
        <v>219</v>
      </c>
      <c r="E73">
        <v>3</v>
      </c>
      <c r="F73" t="s">
        <v>42</v>
      </c>
      <c r="G73" t="s">
        <v>67</v>
      </c>
      <c r="H73" t="s">
        <v>40</v>
      </c>
      <c r="I73" t="s">
        <v>34</v>
      </c>
      <c r="J73" t="s">
        <v>41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35</v>
      </c>
      <c r="Q73" t="s">
        <v>56</v>
      </c>
      <c r="R73" s="1" t="s">
        <v>91</v>
      </c>
    </row>
    <row r="74" spans="1:18" x14ac:dyDescent="0.3">
      <c r="A74" s="4" t="s">
        <v>18</v>
      </c>
      <c r="B74" s="4" t="s">
        <v>19</v>
      </c>
      <c r="C74" s="4" t="s">
        <v>20</v>
      </c>
      <c r="D74" s="4">
        <v>231</v>
      </c>
      <c r="E74" s="4">
        <v>1</v>
      </c>
      <c r="F74" s="4" t="s">
        <v>42</v>
      </c>
      <c r="G74" s="4" t="s">
        <v>67</v>
      </c>
      <c r="H74" s="4" t="s">
        <v>50</v>
      </c>
      <c r="I74" s="4" t="s">
        <v>34</v>
      </c>
      <c r="J74" s="4" t="s">
        <v>34</v>
      </c>
      <c r="K74" s="4" t="s">
        <v>41</v>
      </c>
      <c r="L74" s="4" t="s">
        <v>41</v>
      </c>
      <c r="M74" s="4" t="s">
        <v>34</v>
      </c>
      <c r="N74" s="4" t="s">
        <v>34</v>
      </c>
      <c r="O74" s="4" t="s">
        <v>34</v>
      </c>
      <c r="P74" s="4" t="s">
        <v>49</v>
      </c>
      <c r="Q74" s="4" t="s">
        <v>56</v>
      </c>
      <c r="R74" s="5" t="s">
        <v>102</v>
      </c>
    </row>
    <row r="75" spans="1:18" x14ac:dyDescent="0.3">
      <c r="A75" t="s">
        <v>22</v>
      </c>
      <c r="B75" t="s">
        <v>23</v>
      </c>
      <c r="C75" t="s">
        <v>24</v>
      </c>
      <c r="D75">
        <v>3</v>
      </c>
      <c r="E75">
        <v>1</v>
      </c>
      <c r="F75" t="s">
        <v>37</v>
      </c>
      <c r="G75" t="s">
        <v>108</v>
      </c>
      <c r="H75" t="s">
        <v>33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35</v>
      </c>
      <c r="Q75" t="s">
        <v>36</v>
      </c>
      <c r="R75" s="1" t="s">
        <v>43</v>
      </c>
    </row>
    <row r="76" spans="1:18" x14ac:dyDescent="0.3">
      <c r="A76" s="4" t="s">
        <v>22</v>
      </c>
      <c r="B76" s="4" t="s">
        <v>23</v>
      </c>
      <c r="C76" s="4" t="s">
        <v>24</v>
      </c>
      <c r="D76" s="4">
        <v>8</v>
      </c>
      <c r="E76" s="4">
        <v>1</v>
      </c>
      <c r="F76" s="4" t="s">
        <v>37</v>
      </c>
      <c r="G76" s="4" t="s">
        <v>46</v>
      </c>
      <c r="H76" s="4" t="s">
        <v>33</v>
      </c>
      <c r="I76" s="4" t="s">
        <v>34</v>
      </c>
      <c r="J76" s="4" t="s">
        <v>34</v>
      </c>
      <c r="K76" s="4" t="s">
        <v>34</v>
      </c>
      <c r="L76" s="4" t="s">
        <v>34</v>
      </c>
      <c r="M76" s="4" t="s">
        <v>34</v>
      </c>
      <c r="N76" s="4" t="s">
        <v>34</v>
      </c>
      <c r="O76" s="4" t="s">
        <v>34</v>
      </c>
      <c r="P76" s="4" t="s">
        <v>35</v>
      </c>
      <c r="Q76" s="4" t="s">
        <v>36</v>
      </c>
      <c r="R76" s="5" t="s">
        <v>48</v>
      </c>
    </row>
    <row r="77" spans="1:18" x14ac:dyDescent="0.3">
      <c r="A77" t="s">
        <v>22</v>
      </c>
      <c r="B77" t="s">
        <v>23</v>
      </c>
      <c r="C77" t="s">
        <v>24</v>
      </c>
      <c r="D77">
        <v>13</v>
      </c>
      <c r="E77">
        <v>1</v>
      </c>
      <c r="F77" t="s">
        <v>58</v>
      </c>
      <c r="G77" t="s">
        <v>108</v>
      </c>
      <c r="H77" t="s">
        <v>114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35</v>
      </c>
      <c r="Q77" t="s">
        <v>36</v>
      </c>
      <c r="R77" s="1" t="s">
        <v>38</v>
      </c>
    </row>
    <row r="78" spans="1:18" x14ac:dyDescent="0.3">
      <c r="A78" s="4" t="s">
        <v>22</v>
      </c>
      <c r="B78" s="4" t="s">
        <v>23</v>
      </c>
      <c r="C78" s="4" t="s">
        <v>24</v>
      </c>
      <c r="D78" s="4">
        <v>14</v>
      </c>
      <c r="E78" s="4">
        <v>1</v>
      </c>
      <c r="F78" s="4" t="s">
        <v>37</v>
      </c>
      <c r="G78" s="4" t="s">
        <v>46</v>
      </c>
      <c r="H78" s="4" t="s">
        <v>33</v>
      </c>
      <c r="I78" s="4" t="s">
        <v>34</v>
      </c>
      <c r="J78" s="4" t="s">
        <v>34</v>
      </c>
      <c r="K78" s="4" t="s">
        <v>34</v>
      </c>
      <c r="L78" s="4" t="s">
        <v>34</v>
      </c>
      <c r="M78" s="4" t="s">
        <v>34</v>
      </c>
      <c r="N78" s="4" t="s">
        <v>34</v>
      </c>
      <c r="O78" s="4" t="s">
        <v>34</v>
      </c>
      <c r="P78" s="4" t="s">
        <v>35</v>
      </c>
      <c r="Q78" s="4" t="s">
        <v>36</v>
      </c>
      <c r="R78" s="5" t="s">
        <v>91</v>
      </c>
    </row>
    <row r="79" spans="1:18" x14ac:dyDescent="0.3">
      <c r="A79" t="s">
        <v>22</v>
      </c>
      <c r="B79" t="s">
        <v>23</v>
      </c>
      <c r="C79" t="s">
        <v>24</v>
      </c>
      <c r="D79">
        <v>17</v>
      </c>
      <c r="E79">
        <v>1</v>
      </c>
      <c r="F79" t="s">
        <v>37</v>
      </c>
      <c r="G79" t="s">
        <v>46</v>
      </c>
      <c r="H79" t="s">
        <v>33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35</v>
      </c>
      <c r="Q79" t="s">
        <v>36</v>
      </c>
      <c r="R79" s="1" t="s">
        <v>91</v>
      </c>
    </row>
    <row r="80" spans="1:18" x14ac:dyDescent="0.3">
      <c r="A80" s="4" t="s">
        <v>22</v>
      </c>
      <c r="B80" s="4" t="s">
        <v>23</v>
      </c>
      <c r="C80" s="4" t="s">
        <v>24</v>
      </c>
      <c r="D80" s="4">
        <v>23</v>
      </c>
      <c r="E80" s="4">
        <v>1</v>
      </c>
      <c r="F80" s="4" t="s">
        <v>37</v>
      </c>
      <c r="G80" s="4" t="s">
        <v>108</v>
      </c>
      <c r="H80" s="4" t="s">
        <v>33</v>
      </c>
      <c r="I80" s="4" t="s">
        <v>34</v>
      </c>
      <c r="J80" s="4" t="s">
        <v>34</v>
      </c>
      <c r="K80" s="4" t="s">
        <v>34</v>
      </c>
      <c r="L80" s="4" t="s">
        <v>34</v>
      </c>
      <c r="M80" s="4" t="s">
        <v>34</v>
      </c>
      <c r="N80" s="4" t="s">
        <v>34</v>
      </c>
      <c r="O80" s="4" t="s">
        <v>34</v>
      </c>
      <c r="P80" s="4" t="s">
        <v>35</v>
      </c>
      <c r="Q80" s="4" t="s">
        <v>36</v>
      </c>
      <c r="R80" s="5" t="s">
        <v>38</v>
      </c>
    </row>
    <row r="81" spans="1:18" x14ac:dyDescent="0.3">
      <c r="A81" t="s">
        <v>22</v>
      </c>
      <c r="B81" t="s">
        <v>23</v>
      </c>
      <c r="C81" t="s">
        <v>24</v>
      </c>
      <c r="D81">
        <v>24</v>
      </c>
      <c r="E81">
        <v>1</v>
      </c>
      <c r="F81" t="s">
        <v>42</v>
      </c>
      <c r="G81" t="s">
        <v>32</v>
      </c>
      <c r="H81" t="s">
        <v>101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49</v>
      </c>
      <c r="Q81" t="s">
        <v>36</v>
      </c>
      <c r="R81" s="1" t="s">
        <v>43</v>
      </c>
    </row>
    <row r="82" spans="1:18" x14ac:dyDescent="0.3">
      <c r="A82" s="4" t="s">
        <v>22</v>
      </c>
      <c r="B82" s="4" t="s">
        <v>23</v>
      </c>
      <c r="C82" s="4" t="s">
        <v>24</v>
      </c>
      <c r="D82" s="4">
        <v>29</v>
      </c>
      <c r="E82" s="4">
        <v>1</v>
      </c>
      <c r="F82" s="4" t="s">
        <v>42</v>
      </c>
      <c r="G82" s="4" t="s">
        <v>46</v>
      </c>
      <c r="H82" s="4" t="s">
        <v>50</v>
      </c>
      <c r="I82" s="4" t="s">
        <v>34</v>
      </c>
      <c r="J82" s="4" t="s">
        <v>34</v>
      </c>
      <c r="K82" s="4" t="s">
        <v>34</v>
      </c>
      <c r="L82" s="4" t="s">
        <v>34</v>
      </c>
      <c r="M82" s="4" t="s">
        <v>34</v>
      </c>
      <c r="N82" s="4" t="s">
        <v>34</v>
      </c>
      <c r="O82" s="4" t="s">
        <v>34</v>
      </c>
      <c r="P82" s="4" t="s">
        <v>49</v>
      </c>
      <c r="Q82" s="4" t="s">
        <v>36</v>
      </c>
      <c r="R82" s="5" t="s">
        <v>38</v>
      </c>
    </row>
    <row r="83" spans="1:18" x14ac:dyDescent="0.3">
      <c r="A83" t="s">
        <v>22</v>
      </c>
      <c r="B83" t="s">
        <v>23</v>
      </c>
      <c r="C83" t="s">
        <v>24</v>
      </c>
      <c r="D83">
        <v>37</v>
      </c>
      <c r="E83">
        <v>2</v>
      </c>
      <c r="F83" t="s">
        <v>42</v>
      </c>
      <c r="G83" t="s">
        <v>108</v>
      </c>
      <c r="H83" t="s">
        <v>40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49</v>
      </c>
      <c r="Q83" t="s">
        <v>36</v>
      </c>
      <c r="R83" s="1" t="s">
        <v>38</v>
      </c>
    </row>
    <row r="84" spans="1:18" x14ac:dyDescent="0.3">
      <c r="A84" s="4" t="s">
        <v>22</v>
      </c>
      <c r="B84" s="4" t="s">
        <v>23</v>
      </c>
      <c r="C84" s="4" t="s">
        <v>24</v>
      </c>
      <c r="D84" s="4">
        <v>43</v>
      </c>
      <c r="E84" s="4">
        <v>2</v>
      </c>
      <c r="F84" s="4" t="s">
        <v>37</v>
      </c>
      <c r="G84" s="4" t="s">
        <v>32</v>
      </c>
      <c r="H84" s="4" t="s">
        <v>160</v>
      </c>
      <c r="I84" s="4" t="s">
        <v>34</v>
      </c>
      <c r="J84" s="4" t="s">
        <v>34</v>
      </c>
      <c r="K84" s="4" t="s">
        <v>34</v>
      </c>
      <c r="L84" s="4" t="s">
        <v>34</v>
      </c>
      <c r="M84" s="4" t="s">
        <v>34</v>
      </c>
      <c r="N84" s="4" t="s">
        <v>34</v>
      </c>
      <c r="O84" s="4" t="s">
        <v>34</v>
      </c>
      <c r="P84" s="4" t="s">
        <v>49</v>
      </c>
      <c r="Q84" s="4" t="s">
        <v>36</v>
      </c>
      <c r="R84" s="5" t="s">
        <v>38</v>
      </c>
    </row>
    <row r="85" spans="1:18" x14ac:dyDescent="0.3">
      <c r="A85" t="s">
        <v>22</v>
      </c>
      <c r="B85" t="s">
        <v>23</v>
      </c>
      <c r="C85" t="s">
        <v>24</v>
      </c>
      <c r="D85">
        <v>45</v>
      </c>
      <c r="E85">
        <v>2</v>
      </c>
      <c r="F85" t="s">
        <v>42</v>
      </c>
      <c r="G85" t="s">
        <v>46</v>
      </c>
      <c r="H85" t="s">
        <v>40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49</v>
      </c>
      <c r="Q85" t="s">
        <v>36</v>
      </c>
      <c r="R85" s="1" t="s">
        <v>38</v>
      </c>
    </row>
    <row r="86" spans="1:18" x14ac:dyDescent="0.3">
      <c r="A86" s="4" t="s">
        <v>22</v>
      </c>
      <c r="B86" s="4" t="s">
        <v>23</v>
      </c>
      <c r="C86" s="4" t="s">
        <v>24</v>
      </c>
      <c r="D86" s="4">
        <v>47</v>
      </c>
      <c r="E86" s="4">
        <v>1</v>
      </c>
      <c r="F86" s="4" t="s">
        <v>37</v>
      </c>
      <c r="G86" s="4" t="s">
        <v>46</v>
      </c>
      <c r="H86" s="4" t="s">
        <v>119</v>
      </c>
      <c r="I86" s="4" t="s">
        <v>34</v>
      </c>
      <c r="J86" s="4" t="s">
        <v>34</v>
      </c>
      <c r="K86" s="4" t="s">
        <v>34</v>
      </c>
      <c r="L86" s="4" t="s">
        <v>34</v>
      </c>
      <c r="M86" s="4" t="s">
        <v>34</v>
      </c>
      <c r="N86" s="4" t="s">
        <v>34</v>
      </c>
      <c r="O86" s="4" t="s">
        <v>34</v>
      </c>
      <c r="P86" s="4" t="s">
        <v>49</v>
      </c>
      <c r="Q86" s="4" t="s">
        <v>36</v>
      </c>
      <c r="R86" s="5" t="s">
        <v>47</v>
      </c>
    </row>
    <row r="87" spans="1:18" x14ac:dyDescent="0.3">
      <c r="A87" t="s">
        <v>22</v>
      </c>
      <c r="B87" t="s">
        <v>23</v>
      </c>
      <c r="C87" t="s">
        <v>24</v>
      </c>
      <c r="D87">
        <v>49</v>
      </c>
      <c r="E87">
        <v>1</v>
      </c>
      <c r="F87" t="s">
        <v>37</v>
      </c>
      <c r="G87" t="s">
        <v>46</v>
      </c>
      <c r="H87" t="s">
        <v>119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49</v>
      </c>
      <c r="Q87" t="s">
        <v>36</v>
      </c>
      <c r="R87" s="1" t="s">
        <v>161</v>
      </c>
    </row>
    <row r="88" spans="1:18" x14ac:dyDescent="0.3">
      <c r="A88" s="4" t="s">
        <v>22</v>
      </c>
      <c r="B88" s="4" t="s">
        <v>23</v>
      </c>
      <c r="C88" s="4" t="s">
        <v>24</v>
      </c>
      <c r="D88" s="4">
        <v>54</v>
      </c>
      <c r="E88" s="4">
        <v>2</v>
      </c>
      <c r="F88" s="4" t="s">
        <v>58</v>
      </c>
      <c r="G88" s="4" t="s">
        <v>108</v>
      </c>
      <c r="H88" s="4" t="s">
        <v>114</v>
      </c>
      <c r="I88" s="4" t="s">
        <v>34</v>
      </c>
      <c r="J88" s="4" t="s">
        <v>34</v>
      </c>
      <c r="K88" s="4" t="s">
        <v>34</v>
      </c>
      <c r="L88" s="4" t="s">
        <v>34</v>
      </c>
      <c r="M88" s="4" t="s">
        <v>34</v>
      </c>
      <c r="N88" s="4" t="s">
        <v>34</v>
      </c>
      <c r="O88" s="4" t="s">
        <v>34</v>
      </c>
      <c r="P88" s="4" t="s">
        <v>35</v>
      </c>
      <c r="Q88" s="4" t="s">
        <v>36</v>
      </c>
      <c r="R88" s="5" t="s">
        <v>157</v>
      </c>
    </row>
    <row r="89" spans="1:18" x14ac:dyDescent="0.3">
      <c r="A89" t="s">
        <v>22</v>
      </c>
      <c r="B89" t="s">
        <v>23</v>
      </c>
      <c r="C89" t="s">
        <v>24</v>
      </c>
      <c r="D89">
        <v>61</v>
      </c>
      <c r="E89">
        <v>1</v>
      </c>
      <c r="F89" t="s">
        <v>37</v>
      </c>
      <c r="G89" t="s">
        <v>108</v>
      </c>
      <c r="H89" t="s">
        <v>33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35</v>
      </c>
      <c r="Q89" t="s">
        <v>36</v>
      </c>
      <c r="R89" s="1" t="s">
        <v>161</v>
      </c>
    </row>
    <row r="90" spans="1:18" x14ac:dyDescent="0.3">
      <c r="A90" s="4" t="s">
        <v>22</v>
      </c>
      <c r="B90" s="4" t="s">
        <v>23</v>
      </c>
      <c r="C90" s="4" t="s">
        <v>24</v>
      </c>
      <c r="D90" s="4" t="s">
        <v>162</v>
      </c>
      <c r="E90" s="4">
        <v>1</v>
      </c>
      <c r="F90" s="4" t="s">
        <v>53</v>
      </c>
      <c r="G90" s="4" t="s">
        <v>46</v>
      </c>
      <c r="H90" s="4" t="s">
        <v>153</v>
      </c>
      <c r="I90" s="4" t="s">
        <v>34</v>
      </c>
      <c r="J90" s="4" t="s">
        <v>41</v>
      </c>
      <c r="K90" s="4" t="s">
        <v>34</v>
      </c>
      <c r="L90" s="4" t="s">
        <v>34</v>
      </c>
      <c r="M90" s="4" t="s">
        <v>34</v>
      </c>
      <c r="N90" s="4" t="s">
        <v>34</v>
      </c>
      <c r="O90" s="4" t="s">
        <v>34</v>
      </c>
      <c r="P90" s="4" t="s">
        <v>49</v>
      </c>
      <c r="Q90" s="4" t="s">
        <v>36</v>
      </c>
      <c r="R90" s="5" t="s">
        <v>153</v>
      </c>
    </row>
    <row r="91" spans="1:18" x14ac:dyDescent="0.3">
      <c r="A91" t="s">
        <v>22</v>
      </c>
      <c r="B91" t="s">
        <v>23</v>
      </c>
      <c r="C91" t="s">
        <v>24</v>
      </c>
      <c r="D91">
        <v>71</v>
      </c>
      <c r="E91">
        <v>1</v>
      </c>
      <c r="F91" t="s">
        <v>37</v>
      </c>
      <c r="G91" t="s">
        <v>108</v>
      </c>
      <c r="H91" t="s">
        <v>33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35</v>
      </c>
      <c r="Q91" t="s">
        <v>36</v>
      </c>
      <c r="R91" s="1" t="s">
        <v>116</v>
      </c>
    </row>
    <row r="92" spans="1:18" x14ac:dyDescent="0.3">
      <c r="A92" s="4" t="s">
        <v>22</v>
      </c>
      <c r="B92" s="4" t="s">
        <v>23</v>
      </c>
      <c r="C92" s="4" t="s">
        <v>24</v>
      </c>
      <c r="D92" s="4">
        <v>73</v>
      </c>
      <c r="E92" s="4">
        <v>1</v>
      </c>
      <c r="F92" s="4" t="s">
        <v>42</v>
      </c>
      <c r="G92" s="4" t="s">
        <v>32</v>
      </c>
      <c r="H92" s="4" t="s">
        <v>122</v>
      </c>
      <c r="I92" s="4" t="s">
        <v>34</v>
      </c>
      <c r="J92" s="4" t="s">
        <v>34</v>
      </c>
      <c r="K92" s="4" t="s">
        <v>34</v>
      </c>
      <c r="L92" s="4" t="s">
        <v>34</v>
      </c>
      <c r="M92" s="4" t="s">
        <v>34</v>
      </c>
      <c r="N92" s="4" t="s">
        <v>34</v>
      </c>
      <c r="O92" s="4" t="s">
        <v>34</v>
      </c>
      <c r="P92" s="4" t="s">
        <v>49</v>
      </c>
      <c r="Q92" s="4" t="s">
        <v>36</v>
      </c>
      <c r="R92" s="5" t="s">
        <v>43</v>
      </c>
    </row>
    <row r="93" spans="1:18" x14ac:dyDescent="0.3">
      <c r="A93" t="s">
        <v>22</v>
      </c>
      <c r="B93" t="s">
        <v>23</v>
      </c>
      <c r="C93" t="s">
        <v>24</v>
      </c>
      <c r="D93">
        <v>77</v>
      </c>
      <c r="E93">
        <v>3</v>
      </c>
      <c r="F93" t="s">
        <v>42</v>
      </c>
      <c r="G93" t="s">
        <v>108</v>
      </c>
      <c r="H93" t="s">
        <v>163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49</v>
      </c>
      <c r="Q93" t="s">
        <v>36</v>
      </c>
      <c r="R93" s="1" t="s">
        <v>38</v>
      </c>
    </row>
    <row r="94" spans="1:18" x14ac:dyDescent="0.3">
      <c r="A94" s="4" t="s">
        <v>22</v>
      </c>
      <c r="B94" s="4" t="s">
        <v>23</v>
      </c>
      <c r="C94" s="4" t="s">
        <v>24</v>
      </c>
      <c r="D94" s="4">
        <v>79</v>
      </c>
      <c r="E94" s="4">
        <v>1</v>
      </c>
      <c r="F94" s="4" t="s">
        <v>42</v>
      </c>
      <c r="G94" s="4" t="s">
        <v>46</v>
      </c>
      <c r="H94" s="4" t="s">
        <v>52</v>
      </c>
      <c r="I94" s="4" t="s">
        <v>34</v>
      </c>
      <c r="J94" s="4" t="s">
        <v>34</v>
      </c>
      <c r="K94" s="4" t="s">
        <v>34</v>
      </c>
      <c r="L94" s="4" t="s">
        <v>34</v>
      </c>
      <c r="M94" s="4" t="s">
        <v>34</v>
      </c>
      <c r="N94" s="4" t="s">
        <v>34</v>
      </c>
      <c r="O94" s="4" t="s">
        <v>34</v>
      </c>
      <c r="P94" s="4" t="s">
        <v>49</v>
      </c>
      <c r="Q94" s="4" t="s">
        <v>36</v>
      </c>
      <c r="R94" s="5" t="s">
        <v>43</v>
      </c>
    </row>
    <row r="95" spans="1:18" x14ac:dyDescent="0.3">
      <c r="A95" t="s">
        <v>22</v>
      </c>
      <c r="B95" t="s">
        <v>23</v>
      </c>
      <c r="C95" t="s">
        <v>24</v>
      </c>
      <c r="D95">
        <v>82</v>
      </c>
      <c r="E95">
        <v>1</v>
      </c>
      <c r="F95" t="s">
        <v>42</v>
      </c>
      <c r="G95" t="s">
        <v>46</v>
      </c>
      <c r="H95" t="s">
        <v>158</v>
      </c>
      <c r="I95" t="s">
        <v>34</v>
      </c>
      <c r="J95" t="s">
        <v>34</v>
      </c>
      <c r="K95" t="s">
        <v>41</v>
      </c>
      <c r="L95" t="s">
        <v>34</v>
      </c>
      <c r="M95" t="s">
        <v>34</v>
      </c>
      <c r="N95" t="s">
        <v>34</v>
      </c>
      <c r="O95" t="s">
        <v>41</v>
      </c>
      <c r="P95" t="s">
        <v>49</v>
      </c>
      <c r="Q95" t="s">
        <v>36</v>
      </c>
      <c r="R95" s="1" t="s">
        <v>63</v>
      </c>
    </row>
    <row r="96" spans="1:18" x14ac:dyDescent="0.3">
      <c r="A96" s="4" t="s">
        <v>22</v>
      </c>
      <c r="B96" s="4" t="s">
        <v>23</v>
      </c>
      <c r="C96" s="4" t="s">
        <v>24</v>
      </c>
      <c r="D96" s="4">
        <v>90</v>
      </c>
      <c r="E96" s="4">
        <v>1</v>
      </c>
      <c r="F96" s="4" t="s">
        <v>37</v>
      </c>
      <c r="G96" s="4" t="s">
        <v>108</v>
      </c>
      <c r="H96" s="4" t="s">
        <v>33</v>
      </c>
      <c r="I96" s="4" t="s">
        <v>34</v>
      </c>
      <c r="J96" s="4" t="s">
        <v>34</v>
      </c>
      <c r="K96" s="4" t="s">
        <v>34</v>
      </c>
      <c r="L96" s="4" t="s">
        <v>34</v>
      </c>
      <c r="M96" s="4" t="s">
        <v>34</v>
      </c>
      <c r="N96" s="4" t="s">
        <v>34</v>
      </c>
      <c r="O96" s="4" t="s">
        <v>34</v>
      </c>
      <c r="P96" s="4" t="s">
        <v>35</v>
      </c>
      <c r="Q96" s="4" t="s">
        <v>56</v>
      </c>
      <c r="R96" s="5" t="s">
        <v>43</v>
      </c>
    </row>
    <row r="97" spans="1:18" x14ac:dyDescent="0.3">
      <c r="A97" t="s">
        <v>22</v>
      </c>
      <c r="B97" t="s">
        <v>23</v>
      </c>
      <c r="C97" t="s">
        <v>24</v>
      </c>
      <c r="D97">
        <v>98</v>
      </c>
      <c r="E97">
        <v>1</v>
      </c>
      <c r="F97" t="s">
        <v>107</v>
      </c>
      <c r="G97" t="s">
        <v>95</v>
      </c>
      <c r="H97" t="s">
        <v>33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35</v>
      </c>
      <c r="Q97" t="s">
        <v>56</v>
      </c>
      <c r="R97" s="1" t="s">
        <v>157</v>
      </c>
    </row>
    <row r="98" spans="1:18" x14ac:dyDescent="0.3">
      <c r="A98" s="4" t="s">
        <v>22</v>
      </c>
      <c r="B98" s="4" t="s">
        <v>23</v>
      </c>
      <c r="C98" s="4" t="s">
        <v>24</v>
      </c>
      <c r="D98" s="4">
        <v>100</v>
      </c>
      <c r="E98" s="4">
        <v>1</v>
      </c>
      <c r="F98" s="4" t="s">
        <v>37</v>
      </c>
      <c r="G98" s="4" t="s">
        <v>108</v>
      </c>
      <c r="H98" s="4" t="s">
        <v>33</v>
      </c>
      <c r="I98" s="4" t="s">
        <v>34</v>
      </c>
      <c r="J98" s="4" t="s">
        <v>34</v>
      </c>
      <c r="K98" s="4" t="s">
        <v>34</v>
      </c>
      <c r="L98" s="4" t="s">
        <v>34</v>
      </c>
      <c r="M98" s="4" t="s">
        <v>34</v>
      </c>
      <c r="N98" s="4" t="s">
        <v>34</v>
      </c>
      <c r="O98" s="4" t="s">
        <v>34</v>
      </c>
      <c r="P98" s="4" t="s">
        <v>35</v>
      </c>
      <c r="Q98" s="4" t="s">
        <v>56</v>
      </c>
      <c r="R98" s="5" t="s">
        <v>91</v>
      </c>
    </row>
    <row r="99" spans="1:18" x14ac:dyDescent="0.3">
      <c r="A99" t="s">
        <v>22</v>
      </c>
      <c r="B99" t="s">
        <v>23</v>
      </c>
      <c r="C99" t="s">
        <v>24</v>
      </c>
      <c r="D99">
        <v>102</v>
      </c>
      <c r="E99">
        <v>1</v>
      </c>
      <c r="F99" t="s">
        <v>37</v>
      </c>
      <c r="G99" t="s">
        <v>108</v>
      </c>
      <c r="H99" t="s">
        <v>55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35</v>
      </c>
      <c r="Q99" t="s">
        <v>56</v>
      </c>
      <c r="R99" s="1" t="s">
        <v>102</v>
      </c>
    </row>
    <row r="100" spans="1:18" x14ac:dyDescent="0.3">
      <c r="A100" s="4" t="s">
        <v>22</v>
      </c>
      <c r="B100" s="4" t="s">
        <v>23</v>
      </c>
      <c r="C100" s="4" t="s">
        <v>24</v>
      </c>
      <c r="D100" s="4">
        <v>109</v>
      </c>
      <c r="E100" s="4">
        <v>1</v>
      </c>
      <c r="F100" s="4" t="s">
        <v>37</v>
      </c>
      <c r="G100" s="4" t="s">
        <v>108</v>
      </c>
      <c r="H100" s="4" t="s">
        <v>33</v>
      </c>
      <c r="I100" s="4" t="s">
        <v>34</v>
      </c>
      <c r="J100" s="4" t="s">
        <v>34</v>
      </c>
      <c r="K100" s="4" t="s">
        <v>41</v>
      </c>
      <c r="L100" s="4" t="s">
        <v>34</v>
      </c>
      <c r="M100" s="4" t="s">
        <v>34</v>
      </c>
      <c r="N100" s="4" t="s">
        <v>34</v>
      </c>
      <c r="O100" s="4" t="s">
        <v>34</v>
      </c>
      <c r="P100" s="4" t="s">
        <v>35</v>
      </c>
      <c r="Q100" s="4" t="s">
        <v>56</v>
      </c>
      <c r="R100" s="5" t="s">
        <v>47</v>
      </c>
    </row>
    <row r="101" spans="1:18" x14ac:dyDescent="0.3">
      <c r="A101" t="s">
        <v>22</v>
      </c>
      <c r="B101" t="s">
        <v>23</v>
      </c>
      <c r="C101" t="s">
        <v>24</v>
      </c>
      <c r="D101">
        <v>114</v>
      </c>
      <c r="E101">
        <v>1</v>
      </c>
      <c r="F101" t="s">
        <v>42</v>
      </c>
      <c r="G101" t="s">
        <v>32</v>
      </c>
      <c r="H101" t="s">
        <v>171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49</v>
      </c>
      <c r="Q101" t="s">
        <v>56</v>
      </c>
      <c r="R101" s="1" t="s">
        <v>153</v>
      </c>
    </row>
    <row r="102" spans="1:18" x14ac:dyDescent="0.3">
      <c r="A102" s="4" t="s">
        <v>22</v>
      </c>
      <c r="B102" s="4" t="s">
        <v>23</v>
      </c>
      <c r="C102" s="4" t="s">
        <v>24</v>
      </c>
      <c r="D102" s="4">
        <v>116</v>
      </c>
      <c r="E102" s="4">
        <v>3</v>
      </c>
      <c r="F102" s="4" t="s">
        <v>37</v>
      </c>
      <c r="G102" s="4" t="s">
        <v>46</v>
      </c>
      <c r="H102" s="4" t="s">
        <v>115</v>
      </c>
      <c r="I102" s="4" t="s">
        <v>34</v>
      </c>
      <c r="J102" s="4" t="s">
        <v>34</v>
      </c>
      <c r="K102" s="4" t="s">
        <v>34</v>
      </c>
      <c r="L102" s="4" t="s">
        <v>34</v>
      </c>
      <c r="M102" s="4" t="s">
        <v>34</v>
      </c>
      <c r="N102" s="4" t="s">
        <v>34</v>
      </c>
      <c r="O102" s="4" t="s">
        <v>34</v>
      </c>
      <c r="P102" s="4" t="s">
        <v>49</v>
      </c>
      <c r="Q102" s="4" t="s">
        <v>56</v>
      </c>
      <c r="R102" s="5" t="s">
        <v>116</v>
      </c>
    </row>
    <row r="103" spans="1:18" x14ac:dyDescent="0.3">
      <c r="A103" t="s">
        <v>22</v>
      </c>
      <c r="B103" t="s">
        <v>23</v>
      </c>
      <c r="C103" t="s">
        <v>24</v>
      </c>
      <c r="D103">
        <v>121</v>
      </c>
      <c r="E103">
        <v>1</v>
      </c>
      <c r="F103" t="s">
        <v>42</v>
      </c>
      <c r="G103" t="s">
        <v>46</v>
      </c>
      <c r="H103" t="s">
        <v>40</v>
      </c>
      <c r="I103" t="s">
        <v>34</v>
      </c>
      <c r="J103" t="s">
        <v>34</v>
      </c>
      <c r="K103" t="s">
        <v>41</v>
      </c>
      <c r="L103" t="s">
        <v>41</v>
      </c>
      <c r="M103" t="s">
        <v>34</v>
      </c>
      <c r="N103" t="s">
        <v>34</v>
      </c>
      <c r="O103" t="s">
        <v>34</v>
      </c>
      <c r="P103" t="s">
        <v>49</v>
      </c>
      <c r="Q103" t="s">
        <v>56</v>
      </c>
      <c r="R103" s="1" t="s">
        <v>38</v>
      </c>
    </row>
    <row r="104" spans="1:18" x14ac:dyDescent="0.3">
      <c r="A104" s="4" t="s">
        <v>22</v>
      </c>
      <c r="B104" s="4" t="s">
        <v>23</v>
      </c>
      <c r="C104" s="4" t="s">
        <v>24</v>
      </c>
      <c r="D104" s="4">
        <v>128</v>
      </c>
      <c r="E104" s="4">
        <v>1</v>
      </c>
      <c r="F104" s="4" t="s">
        <v>37</v>
      </c>
      <c r="G104" s="4" t="s">
        <v>108</v>
      </c>
      <c r="H104" s="4" t="s">
        <v>33</v>
      </c>
      <c r="I104" s="4" t="s">
        <v>34</v>
      </c>
      <c r="J104" s="4" t="s">
        <v>34</v>
      </c>
      <c r="K104" s="4" t="s">
        <v>34</v>
      </c>
      <c r="L104" s="4" t="s">
        <v>34</v>
      </c>
      <c r="M104" s="4" t="s">
        <v>34</v>
      </c>
      <c r="N104" s="4" t="s">
        <v>34</v>
      </c>
      <c r="O104" s="4" t="s">
        <v>34</v>
      </c>
      <c r="P104" s="4" t="s">
        <v>35</v>
      </c>
      <c r="Q104" s="4" t="s">
        <v>56</v>
      </c>
      <c r="R104" s="5" t="s">
        <v>91</v>
      </c>
    </row>
    <row r="105" spans="1:18" x14ac:dyDescent="0.3">
      <c r="A105" t="s">
        <v>22</v>
      </c>
      <c r="B105" t="s">
        <v>23</v>
      </c>
      <c r="C105" t="s">
        <v>24</v>
      </c>
      <c r="D105">
        <v>139</v>
      </c>
      <c r="E105">
        <v>1</v>
      </c>
      <c r="F105" t="s">
        <v>37</v>
      </c>
      <c r="G105" t="s">
        <v>108</v>
      </c>
      <c r="H105" t="s">
        <v>33</v>
      </c>
      <c r="I105" t="s">
        <v>34</v>
      </c>
      <c r="J105" t="s">
        <v>34</v>
      </c>
      <c r="K105" t="s">
        <v>41</v>
      </c>
      <c r="L105" t="s">
        <v>34</v>
      </c>
      <c r="M105" t="s">
        <v>34</v>
      </c>
      <c r="N105" t="s">
        <v>34</v>
      </c>
      <c r="O105" t="s">
        <v>34</v>
      </c>
      <c r="P105" t="s">
        <v>35</v>
      </c>
      <c r="Q105" t="s">
        <v>56</v>
      </c>
      <c r="R105" s="1" t="s">
        <v>117</v>
      </c>
    </row>
    <row r="106" spans="1:18" x14ac:dyDescent="0.3">
      <c r="A106" s="4" t="s">
        <v>22</v>
      </c>
      <c r="B106" s="4" t="s">
        <v>23</v>
      </c>
      <c r="C106" s="4" t="s">
        <v>24</v>
      </c>
      <c r="D106" s="4">
        <v>147</v>
      </c>
      <c r="E106" s="4">
        <v>2</v>
      </c>
      <c r="F106" s="4" t="s">
        <v>42</v>
      </c>
      <c r="G106" s="4" t="s">
        <v>108</v>
      </c>
      <c r="H106" s="4" t="s">
        <v>118</v>
      </c>
      <c r="I106" s="4" t="s">
        <v>34</v>
      </c>
      <c r="J106" s="4" t="s">
        <v>34</v>
      </c>
      <c r="K106" s="4" t="s">
        <v>34</v>
      </c>
      <c r="L106" s="4" t="s">
        <v>34</v>
      </c>
      <c r="M106" s="4" t="s">
        <v>34</v>
      </c>
      <c r="N106" s="4" t="s">
        <v>34</v>
      </c>
      <c r="O106" s="4" t="s">
        <v>34</v>
      </c>
      <c r="P106" s="4" t="s">
        <v>35</v>
      </c>
      <c r="Q106" s="4" t="s">
        <v>56</v>
      </c>
      <c r="R106" s="5" t="s">
        <v>102</v>
      </c>
    </row>
    <row r="107" spans="1:18" x14ac:dyDescent="0.3">
      <c r="A107" t="s">
        <v>22</v>
      </c>
      <c r="B107" t="s">
        <v>23</v>
      </c>
      <c r="C107" t="s">
        <v>24</v>
      </c>
      <c r="D107">
        <v>151</v>
      </c>
      <c r="E107">
        <v>1</v>
      </c>
      <c r="F107" t="s">
        <v>42</v>
      </c>
      <c r="G107" t="s">
        <v>67</v>
      </c>
      <c r="H107" t="s">
        <v>119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35</v>
      </c>
      <c r="Q107" t="s">
        <v>56</v>
      </c>
      <c r="R107" s="1" t="s">
        <v>116</v>
      </c>
    </row>
    <row r="108" spans="1:18" x14ac:dyDescent="0.3">
      <c r="A108" s="4" t="s">
        <v>22</v>
      </c>
      <c r="B108" s="4" t="s">
        <v>23</v>
      </c>
      <c r="C108" s="4" t="s">
        <v>24</v>
      </c>
      <c r="D108" s="4">
        <v>155</v>
      </c>
      <c r="E108" s="4">
        <v>3</v>
      </c>
      <c r="F108" s="4" t="s">
        <v>58</v>
      </c>
      <c r="G108" s="4" t="s">
        <v>108</v>
      </c>
      <c r="H108" s="4" t="s">
        <v>60</v>
      </c>
      <c r="I108" s="4" t="s">
        <v>34</v>
      </c>
      <c r="J108" s="4" t="s">
        <v>34</v>
      </c>
      <c r="K108" s="4" t="s">
        <v>34</v>
      </c>
      <c r="L108" s="4" t="s">
        <v>34</v>
      </c>
      <c r="M108" s="4" t="s">
        <v>34</v>
      </c>
      <c r="N108" s="4" t="s">
        <v>34</v>
      </c>
      <c r="O108" s="4" t="s">
        <v>34</v>
      </c>
      <c r="P108" s="4" t="s">
        <v>35</v>
      </c>
      <c r="Q108" s="4" t="s">
        <v>56</v>
      </c>
      <c r="R108" s="5" t="s">
        <v>121</v>
      </c>
    </row>
    <row r="109" spans="1:18" x14ac:dyDescent="0.3">
      <c r="A109" t="s">
        <v>22</v>
      </c>
      <c r="B109" t="s">
        <v>23</v>
      </c>
      <c r="C109" t="s">
        <v>24</v>
      </c>
      <c r="D109">
        <v>162</v>
      </c>
      <c r="E109">
        <v>1</v>
      </c>
      <c r="F109" t="s">
        <v>37</v>
      </c>
      <c r="G109" t="s">
        <v>108</v>
      </c>
      <c r="H109" t="s">
        <v>33</v>
      </c>
      <c r="I109" t="s">
        <v>34</v>
      </c>
      <c r="J109" t="s">
        <v>34</v>
      </c>
      <c r="K109" t="s">
        <v>41</v>
      </c>
      <c r="L109" t="s">
        <v>34</v>
      </c>
      <c r="M109" t="s">
        <v>34</v>
      </c>
      <c r="N109" t="s">
        <v>34</v>
      </c>
      <c r="O109" t="s">
        <v>34</v>
      </c>
      <c r="P109" t="s">
        <v>35</v>
      </c>
      <c r="Q109" t="s">
        <v>56</v>
      </c>
      <c r="R109" s="1" t="s">
        <v>45</v>
      </c>
    </row>
    <row r="110" spans="1:18" x14ac:dyDescent="0.3">
      <c r="A110" s="4" t="s">
        <v>22</v>
      </c>
      <c r="B110" s="4" t="s">
        <v>23</v>
      </c>
      <c r="C110" s="4" t="s">
        <v>24</v>
      </c>
      <c r="D110" s="4">
        <v>166</v>
      </c>
      <c r="E110" s="4">
        <v>3</v>
      </c>
      <c r="F110" s="4" t="s">
        <v>42</v>
      </c>
      <c r="G110" s="4" t="s">
        <v>32</v>
      </c>
      <c r="H110" s="4" t="s">
        <v>40</v>
      </c>
      <c r="I110" s="4" t="s">
        <v>34</v>
      </c>
      <c r="J110" s="4" t="s">
        <v>34</v>
      </c>
      <c r="K110" s="4" t="s">
        <v>34</v>
      </c>
      <c r="L110" s="4" t="s">
        <v>34</v>
      </c>
      <c r="M110" s="4" t="s">
        <v>34</v>
      </c>
      <c r="N110" s="4" t="s">
        <v>34</v>
      </c>
      <c r="O110" s="4" t="s">
        <v>34</v>
      </c>
      <c r="P110" s="4" t="s">
        <v>49</v>
      </c>
      <c r="Q110" s="4" t="s">
        <v>56</v>
      </c>
      <c r="R110" s="5" t="s">
        <v>43</v>
      </c>
    </row>
    <row r="111" spans="1:18" x14ac:dyDescent="0.3">
      <c r="A111" t="s">
        <v>22</v>
      </c>
      <c r="B111" t="s">
        <v>23</v>
      </c>
      <c r="C111" t="s">
        <v>24</v>
      </c>
      <c r="D111">
        <v>167</v>
      </c>
      <c r="E111">
        <v>3</v>
      </c>
      <c r="F111" t="s">
        <v>37</v>
      </c>
      <c r="G111" t="s">
        <v>32</v>
      </c>
      <c r="H111" t="s">
        <v>33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49</v>
      </c>
      <c r="Q111" t="s">
        <v>56</v>
      </c>
      <c r="R111" s="1" t="s">
        <v>63</v>
      </c>
    </row>
    <row r="112" spans="1:18" x14ac:dyDescent="0.3">
      <c r="A112" s="4" t="s">
        <v>22</v>
      </c>
      <c r="B112" s="4" t="s">
        <v>23</v>
      </c>
      <c r="C112" s="4" t="s">
        <v>24</v>
      </c>
      <c r="D112" s="4">
        <v>168</v>
      </c>
      <c r="E112" s="4">
        <v>3</v>
      </c>
      <c r="F112" s="4" t="s">
        <v>42</v>
      </c>
      <c r="G112" s="4" t="s">
        <v>32</v>
      </c>
      <c r="H112" s="4" t="s">
        <v>122</v>
      </c>
      <c r="I112" s="4" t="s">
        <v>34</v>
      </c>
      <c r="J112" s="4" t="s">
        <v>34</v>
      </c>
      <c r="K112" s="4" t="s">
        <v>34</v>
      </c>
      <c r="L112" s="4" t="s">
        <v>34</v>
      </c>
      <c r="M112" s="4" t="s">
        <v>34</v>
      </c>
      <c r="N112" s="4" t="s">
        <v>34</v>
      </c>
      <c r="O112" s="4" t="s">
        <v>34</v>
      </c>
      <c r="P112" s="4" t="s">
        <v>49</v>
      </c>
      <c r="Q112" s="4" t="s">
        <v>56</v>
      </c>
      <c r="R112" s="5" t="s">
        <v>43</v>
      </c>
    </row>
    <row r="113" spans="1:18" x14ac:dyDescent="0.3">
      <c r="A113" t="s">
        <v>22</v>
      </c>
      <c r="B113" t="s">
        <v>23</v>
      </c>
      <c r="C113" t="s">
        <v>24</v>
      </c>
      <c r="D113">
        <v>169</v>
      </c>
      <c r="E113">
        <v>3</v>
      </c>
      <c r="F113" t="s">
        <v>42</v>
      </c>
      <c r="G113" t="s">
        <v>32</v>
      </c>
      <c r="H113" t="s">
        <v>40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49</v>
      </c>
      <c r="Q113" t="s">
        <v>56</v>
      </c>
      <c r="R113" s="1" t="s">
        <v>94</v>
      </c>
    </row>
    <row r="114" spans="1:18" x14ac:dyDescent="0.3">
      <c r="A114" s="4" t="s">
        <v>22</v>
      </c>
      <c r="B114" s="4" t="s">
        <v>23</v>
      </c>
      <c r="C114" s="4" t="s">
        <v>24</v>
      </c>
      <c r="D114" s="4">
        <v>182</v>
      </c>
      <c r="E114" s="4">
        <v>1</v>
      </c>
      <c r="F114" s="4" t="s">
        <v>37</v>
      </c>
      <c r="G114" s="4" t="s">
        <v>67</v>
      </c>
      <c r="H114" s="4" t="s">
        <v>65</v>
      </c>
      <c r="I114" s="4" t="s">
        <v>34</v>
      </c>
      <c r="J114" s="4" t="s">
        <v>34</v>
      </c>
      <c r="K114" s="4" t="s">
        <v>34</v>
      </c>
      <c r="L114" s="4" t="s">
        <v>34</v>
      </c>
      <c r="M114" s="4" t="s">
        <v>34</v>
      </c>
      <c r="N114" s="4" t="s">
        <v>34</v>
      </c>
      <c r="O114" s="4" t="s">
        <v>34</v>
      </c>
      <c r="P114" s="4" t="s">
        <v>35</v>
      </c>
      <c r="Q114" s="4" t="s">
        <v>56</v>
      </c>
      <c r="R114" s="5" t="s">
        <v>91</v>
      </c>
    </row>
    <row r="115" spans="1:18" x14ac:dyDescent="0.3">
      <c r="A115" t="s">
        <v>22</v>
      </c>
      <c r="B115" t="s">
        <v>23</v>
      </c>
      <c r="C115" t="s">
        <v>24</v>
      </c>
      <c r="D115">
        <v>187</v>
      </c>
      <c r="E115">
        <v>1</v>
      </c>
      <c r="F115" t="s">
        <v>37</v>
      </c>
      <c r="G115" t="s">
        <v>108</v>
      </c>
      <c r="H115" t="s">
        <v>33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35</v>
      </c>
      <c r="Q115" t="s">
        <v>56</v>
      </c>
      <c r="R115" s="1" t="s">
        <v>91</v>
      </c>
    </row>
    <row r="116" spans="1:18" x14ac:dyDescent="0.3">
      <c r="A116" s="4" t="s">
        <v>22</v>
      </c>
      <c r="B116" s="4" t="s">
        <v>23</v>
      </c>
      <c r="C116" s="4" t="s">
        <v>24</v>
      </c>
      <c r="D116" s="4">
        <v>190</v>
      </c>
      <c r="E116" s="4">
        <v>1</v>
      </c>
      <c r="F116" s="4" t="s">
        <v>42</v>
      </c>
      <c r="G116" s="4" t="s">
        <v>108</v>
      </c>
      <c r="H116" s="4" t="s">
        <v>40</v>
      </c>
      <c r="I116" s="4" t="s">
        <v>34</v>
      </c>
      <c r="J116" s="4" t="s">
        <v>34</v>
      </c>
      <c r="K116" s="4" t="s">
        <v>41</v>
      </c>
      <c r="L116" s="4" t="s">
        <v>34</v>
      </c>
      <c r="M116" s="4" t="s">
        <v>34</v>
      </c>
      <c r="N116" s="4" t="s">
        <v>34</v>
      </c>
      <c r="O116" s="4" t="s">
        <v>34</v>
      </c>
      <c r="P116" s="4" t="s">
        <v>35</v>
      </c>
      <c r="Q116" s="4" t="s">
        <v>56</v>
      </c>
      <c r="R116" s="5" t="s">
        <v>161</v>
      </c>
    </row>
    <row r="117" spans="1:18" x14ac:dyDescent="0.3">
      <c r="A117" t="s">
        <v>22</v>
      </c>
      <c r="B117" t="s">
        <v>23</v>
      </c>
      <c r="C117" t="s">
        <v>24</v>
      </c>
      <c r="D117">
        <v>199</v>
      </c>
      <c r="E117">
        <v>1</v>
      </c>
      <c r="F117" t="s">
        <v>37</v>
      </c>
      <c r="G117" t="s">
        <v>108</v>
      </c>
      <c r="H117" t="s">
        <v>33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35</v>
      </c>
      <c r="Q117" t="s">
        <v>56</v>
      </c>
      <c r="R117" s="1" t="s">
        <v>91</v>
      </c>
    </row>
    <row r="118" spans="1:18" x14ac:dyDescent="0.3">
      <c r="A118" s="4" t="s">
        <v>22</v>
      </c>
      <c r="B118" s="4" t="s">
        <v>23</v>
      </c>
      <c r="C118" s="4" t="s">
        <v>24</v>
      </c>
      <c r="D118" s="4">
        <v>201</v>
      </c>
      <c r="E118" s="4">
        <v>3</v>
      </c>
      <c r="F118" s="4" t="s">
        <v>107</v>
      </c>
      <c r="G118" s="4" t="s">
        <v>95</v>
      </c>
      <c r="H118" s="4" t="s">
        <v>33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4" t="s">
        <v>34</v>
      </c>
      <c r="O118" s="4" t="s">
        <v>34</v>
      </c>
      <c r="P118" s="4" t="s">
        <v>35</v>
      </c>
      <c r="Q118" s="4" t="s">
        <v>56</v>
      </c>
      <c r="R118" s="5" t="s">
        <v>91</v>
      </c>
    </row>
    <row r="119" spans="1:18" x14ac:dyDescent="0.3">
      <c r="A119" t="s">
        <v>22</v>
      </c>
      <c r="B119" t="s">
        <v>23</v>
      </c>
      <c r="C119" t="s">
        <v>24</v>
      </c>
      <c r="D119">
        <v>203</v>
      </c>
      <c r="E119">
        <v>1</v>
      </c>
      <c r="F119" t="s">
        <v>37</v>
      </c>
      <c r="G119" t="s">
        <v>108</v>
      </c>
      <c r="H119" t="s">
        <v>33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35</v>
      </c>
      <c r="Q119" t="s">
        <v>56</v>
      </c>
      <c r="R119" s="1" t="s">
        <v>161</v>
      </c>
    </row>
    <row r="120" spans="1:18" x14ac:dyDescent="0.3">
      <c r="A120" s="4" t="s">
        <v>22</v>
      </c>
      <c r="B120" s="4" t="s">
        <v>23</v>
      </c>
      <c r="C120" s="4" t="s">
        <v>24</v>
      </c>
      <c r="D120" s="4">
        <v>205</v>
      </c>
      <c r="E120" s="4">
        <v>1</v>
      </c>
      <c r="F120" s="4" t="s">
        <v>37</v>
      </c>
      <c r="G120" s="4" t="s">
        <v>108</v>
      </c>
      <c r="H120" s="4" t="s">
        <v>61</v>
      </c>
      <c r="I120" s="4" t="s">
        <v>34</v>
      </c>
      <c r="J120" s="4" t="s">
        <v>34</v>
      </c>
      <c r="K120" s="4" t="s">
        <v>34</v>
      </c>
      <c r="L120" s="4" t="s">
        <v>34</v>
      </c>
      <c r="M120" s="4" t="s">
        <v>34</v>
      </c>
      <c r="N120" s="4" t="s">
        <v>34</v>
      </c>
      <c r="O120" s="4" t="s">
        <v>34</v>
      </c>
      <c r="P120" s="4" t="s">
        <v>35</v>
      </c>
      <c r="Q120" s="4" t="s">
        <v>56</v>
      </c>
      <c r="R120" s="5" t="s">
        <v>91</v>
      </c>
    </row>
    <row r="121" spans="1:18" x14ac:dyDescent="0.3">
      <c r="A121" t="s">
        <v>22</v>
      </c>
      <c r="B121" t="s">
        <v>23</v>
      </c>
      <c r="C121" t="s">
        <v>24</v>
      </c>
      <c r="D121">
        <v>211</v>
      </c>
      <c r="E121">
        <v>1</v>
      </c>
      <c r="F121" t="s">
        <v>42</v>
      </c>
      <c r="G121" t="s">
        <v>108</v>
      </c>
      <c r="H121" t="s">
        <v>40</v>
      </c>
      <c r="I121" t="s">
        <v>34</v>
      </c>
      <c r="J121" t="s">
        <v>34</v>
      </c>
      <c r="K121" t="s">
        <v>41</v>
      </c>
      <c r="L121" t="s">
        <v>34</v>
      </c>
      <c r="M121" t="s">
        <v>34</v>
      </c>
      <c r="N121" t="s">
        <v>34</v>
      </c>
      <c r="O121" t="s">
        <v>34</v>
      </c>
      <c r="P121" t="s">
        <v>35</v>
      </c>
      <c r="Q121" t="s">
        <v>56</v>
      </c>
      <c r="R121" s="1" t="s">
        <v>39</v>
      </c>
    </row>
    <row r="122" spans="1:18" x14ac:dyDescent="0.3">
      <c r="A122" s="4" t="s">
        <v>22</v>
      </c>
      <c r="B122" s="4" t="s">
        <v>23</v>
      </c>
      <c r="C122" s="4" t="s">
        <v>24</v>
      </c>
      <c r="D122" s="4">
        <v>216</v>
      </c>
      <c r="E122" s="4">
        <v>1</v>
      </c>
      <c r="F122" s="4" t="s">
        <v>37</v>
      </c>
      <c r="G122" s="4" t="s">
        <v>108</v>
      </c>
      <c r="H122" s="4" t="s">
        <v>33</v>
      </c>
      <c r="I122" s="4" t="s">
        <v>34</v>
      </c>
      <c r="J122" s="4" t="s">
        <v>34</v>
      </c>
      <c r="K122" s="4" t="s">
        <v>34</v>
      </c>
      <c r="L122" s="4" t="s">
        <v>34</v>
      </c>
      <c r="M122" s="4" t="s">
        <v>34</v>
      </c>
      <c r="N122" s="4" t="s">
        <v>34</v>
      </c>
      <c r="O122" s="4" t="s">
        <v>34</v>
      </c>
      <c r="P122" s="4" t="s">
        <v>49</v>
      </c>
      <c r="Q122" s="4" t="s">
        <v>36</v>
      </c>
      <c r="R122" s="5" t="s">
        <v>38</v>
      </c>
    </row>
    <row r="123" spans="1:18" x14ac:dyDescent="0.3">
      <c r="A123" t="s">
        <v>22</v>
      </c>
      <c r="B123" t="s">
        <v>23</v>
      </c>
      <c r="C123" t="s">
        <v>24</v>
      </c>
      <c r="D123">
        <v>217</v>
      </c>
      <c r="E123">
        <v>1</v>
      </c>
      <c r="F123" t="s">
        <v>37</v>
      </c>
      <c r="G123" t="s">
        <v>46</v>
      </c>
      <c r="H123" t="s">
        <v>33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49</v>
      </c>
      <c r="Q123" t="s">
        <v>36</v>
      </c>
      <c r="R123" s="1" t="s">
        <v>124</v>
      </c>
    </row>
    <row r="124" spans="1:18" x14ac:dyDescent="0.3">
      <c r="A124" s="4" t="s">
        <v>22</v>
      </c>
      <c r="B124" s="4" t="s">
        <v>23</v>
      </c>
      <c r="C124" s="4" t="s">
        <v>24</v>
      </c>
      <c r="D124" s="4">
        <v>218</v>
      </c>
      <c r="E124" s="4">
        <v>1</v>
      </c>
      <c r="F124" s="4" t="s">
        <v>37</v>
      </c>
      <c r="G124" s="4" t="s">
        <v>46</v>
      </c>
      <c r="H124" s="4" t="s">
        <v>125</v>
      </c>
      <c r="I124" s="4" t="s">
        <v>34</v>
      </c>
      <c r="J124" s="4" t="s">
        <v>34</v>
      </c>
      <c r="K124" s="4" t="s">
        <v>34</v>
      </c>
      <c r="L124" s="4" t="s">
        <v>34</v>
      </c>
      <c r="M124" s="4" t="s">
        <v>34</v>
      </c>
      <c r="N124" s="4" t="s">
        <v>41</v>
      </c>
      <c r="O124" s="4" t="s">
        <v>34</v>
      </c>
      <c r="P124" s="4" t="s">
        <v>49</v>
      </c>
      <c r="Q124" s="4" t="s">
        <v>36</v>
      </c>
      <c r="R124" s="5" t="s">
        <v>126</v>
      </c>
    </row>
    <row r="125" spans="1:18" x14ac:dyDescent="0.3">
      <c r="A125" t="s">
        <v>22</v>
      </c>
      <c r="B125" t="s">
        <v>23</v>
      </c>
      <c r="C125" t="s">
        <v>24</v>
      </c>
      <c r="D125">
        <v>219</v>
      </c>
      <c r="E125">
        <v>1</v>
      </c>
      <c r="F125" t="s">
        <v>42</v>
      </c>
      <c r="G125" t="s">
        <v>108</v>
      </c>
      <c r="H125" t="s">
        <v>127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49</v>
      </c>
      <c r="Q125" t="s">
        <v>36</v>
      </c>
      <c r="R125" s="1" t="s">
        <v>66</v>
      </c>
    </row>
    <row r="126" spans="1:18" x14ac:dyDescent="0.3">
      <c r="A126" s="4" t="s">
        <v>22</v>
      </c>
      <c r="B126" s="4" t="s">
        <v>23</v>
      </c>
      <c r="C126" s="4" t="s">
        <v>24</v>
      </c>
      <c r="D126" s="4">
        <v>223</v>
      </c>
      <c r="E126" s="4">
        <v>1</v>
      </c>
      <c r="F126" s="4" t="s">
        <v>37</v>
      </c>
      <c r="G126" s="4" t="s">
        <v>108</v>
      </c>
      <c r="H126" s="4" t="s">
        <v>128</v>
      </c>
      <c r="I126" s="4" t="s">
        <v>34</v>
      </c>
      <c r="J126" s="4" t="s">
        <v>34</v>
      </c>
      <c r="K126" s="4" t="s">
        <v>34</v>
      </c>
      <c r="L126" s="4" t="s">
        <v>34</v>
      </c>
      <c r="M126" s="4" t="s">
        <v>34</v>
      </c>
      <c r="N126" s="4" t="s">
        <v>41</v>
      </c>
      <c r="O126" s="4" t="s">
        <v>34</v>
      </c>
      <c r="P126" s="4" t="s">
        <v>49</v>
      </c>
      <c r="Q126" s="4" t="s">
        <v>36</v>
      </c>
      <c r="R126" s="5" t="s">
        <v>43</v>
      </c>
    </row>
    <row r="127" spans="1:18" x14ac:dyDescent="0.3">
      <c r="A127" t="s">
        <v>22</v>
      </c>
      <c r="B127" t="s">
        <v>23</v>
      </c>
      <c r="C127" t="s">
        <v>24</v>
      </c>
      <c r="D127">
        <v>225</v>
      </c>
      <c r="E127">
        <v>1</v>
      </c>
      <c r="F127" t="s">
        <v>42</v>
      </c>
      <c r="G127" t="s">
        <v>46</v>
      </c>
      <c r="H127" t="s">
        <v>40</v>
      </c>
      <c r="I127" t="s">
        <v>34</v>
      </c>
      <c r="J127" t="s">
        <v>34</v>
      </c>
      <c r="K127" t="s">
        <v>41</v>
      </c>
      <c r="L127" t="s">
        <v>34</v>
      </c>
      <c r="M127" t="s">
        <v>34</v>
      </c>
      <c r="N127" t="s">
        <v>34</v>
      </c>
      <c r="O127" t="s">
        <v>41</v>
      </c>
      <c r="P127" t="s">
        <v>49</v>
      </c>
      <c r="Q127" t="s">
        <v>36</v>
      </c>
      <c r="R127" s="1" t="s">
        <v>91</v>
      </c>
    </row>
    <row r="128" spans="1:18" x14ac:dyDescent="0.3">
      <c r="A128" s="4" t="s">
        <v>25</v>
      </c>
      <c r="B128" s="4" t="s">
        <v>26</v>
      </c>
      <c r="C128" s="4" t="s">
        <v>27</v>
      </c>
      <c r="D128" s="4">
        <v>4</v>
      </c>
      <c r="E128" s="4">
        <v>3</v>
      </c>
      <c r="F128" s="4" t="s">
        <v>42</v>
      </c>
      <c r="G128" s="4" t="s">
        <v>46</v>
      </c>
      <c r="H128" s="4" t="s">
        <v>101</v>
      </c>
      <c r="I128" s="4" t="s">
        <v>34</v>
      </c>
      <c r="J128" s="4" t="s">
        <v>34</v>
      </c>
      <c r="K128" s="4" t="s">
        <v>34</v>
      </c>
      <c r="L128" s="4" t="s">
        <v>34</v>
      </c>
      <c r="M128" s="4" t="s">
        <v>41</v>
      </c>
      <c r="N128" s="4" t="s">
        <v>34</v>
      </c>
      <c r="O128" s="4" t="s">
        <v>34</v>
      </c>
      <c r="P128" s="4" t="s">
        <v>35</v>
      </c>
      <c r="Q128" s="4" t="s">
        <v>36</v>
      </c>
      <c r="R128" s="5" t="s">
        <v>104</v>
      </c>
    </row>
    <row r="129" spans="1:18" x14ac:dyDescent="0.3">
      <c r="A129" t="s">
        <v>25</v>
      </c>
      <c r="B129" t="s">
        <v>26</v>
      </c>
      <c r="C129" t="s">
        <v>27</v>
      </c>
      <c r="D129">
        <v>7</v>
      </c>
      <c r="E129">
        <v>1</v>
      </c>
      <c r="F129" t="s">
        <v>37</v>
      </c>
      <c r="G129" t="s">
        <v>32</v>
      </c>
      <c r="H129" t="s">
        <v>33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35</v>
      </c>
      <c r="Q129" t="s">
        <v>36</v>
      </c>
      <c r="R129" s="1" t="s">
        <v>99</v>
      </c>
    </row>
    <row r="130" spans="1:18" x14ac:dyDescent="0.3">
      <c r="A130" s="4" t="s">
        <v>25</v>
      </c>
      <c r="B130" s="4" t="s">
        <v>26</v>
      </c>
      <c r="C130" s="4" t="s">
        <v>27</v>
      </c>
      <c r="D130" s="4">
        <v>15</v>
      </c>
      <c r="E130" s="4">
        <v>2</v>
      </c>
      <c r="F130" s="4" t="s">
        <v>58</v>
      </c>
      <c r="G130" s="4" t="s">
        <v>108</v>
      </c>
      <c r="H130" s="4" t="s">
        <v>106</v>
      </c>
      <c r="I130" s="4" t="s">
        <v>34</v>
      </c>
      <c r="J130" s="4" t="s">
        <v>34</v>
      </c>
      <c r="K130" s="4" t="s">
        <v>34</v>
      </c>
      <c r="L130" s="4" t="s">
        <v>34</v>
      </c>
      <c r="M130" s="4" t="s">
        <v>34</v>
      </c>
      <c r="N130" s="4" t="s">
        <v>34</v>
      </c>
      <c r="O130" s="4" t="s">
        <v>34</v>
      </c>
      <c r="P130" s="4" t="s">
        <v>35</v>
      </c>
      <c r="Q130" s="4" t="s">
        <v>36</v>
      </c>
      <c r="R130" s="5" t="s">
        <v>63</v>
      </c>
    </row>
    <row r="131" spans="1:18" x14ac:dyDescent="0.3">
      <c r="A131" t="s">
        <v>25</v>
      </c>
      <c r="B131" t="s">
        <v>26</v>
      </c>
      <c r="C131" t="s">
        <v>27</v>
      </c>
      <c r="D131">
        <v>16</v>
      </c>
      <c r="E131">
        <v>1</v>
      </c>
      <c r="F131" t="s">
        <v>42</v>
      </c>
      <c r="G131" t="s">
        <v>108</v>
      </c>
      <c r="H131" t="s">
        <v>40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35</v>
      </c>
      <c r="Q131" t="s">
        <v>36</v>
      </c>
      <c r="R131" s="1" t="s">
        <v>63</v>
      </c>
    </row>
    <row r="132" spans="1:18" x14ac:dyDescent="0.3">
      <c r="A132" s="4" t="s">
        <v>25</v>
      </c>
      <c r="B132" s="4" t="s">
        <v>26</v>
      </c>
      <c r="C132" s="4" t="s">
        <v>27</v>
      </c>
      <c r="D132" s="4">
        <v>25</v>
      </c>
      <c r="E132" s="4">
        <v>1</v>
      </c>
      <c r="F132" s="4" t="s">
        <v>107</v>
      </c>
      <c r="G132" s="4" t="s">
        <v>108</v>
      </c>
      <c r="H132" s="4" t="s">
        <v>33</v>
      </c>
      <c r="I132" s="4" t="s">
        <v>34</v>
      </c>
      <c r="J132" s="4" t="s">
        <v>34</v>
      </c>
      <c r="K132" s="4" t="s">
        <v>34</v>
      </c>
      <c r="L132" s="4" t="s">
        <v>34</v>
      </c>
      <c r="M132" s="4" t="s">
        <v>34</v>
      </c>
      <c r="N132" s="4" t="s">
        <v>34</v>
      </c>
      <c r="O132" s="4" t="s">
        <v>34</v>
      </c>
      <c r="P132" s="4" t="s">
        <v>35</v>
      </c>
      <c r="Q132" s="4" t="s">
        <v>36</v>
      </c>
      <c r="R132" s="5" t="s">
        <v>43</v>
      </c>
    </row>
    <row r="133" spans="1:18" x14ac:dyDescent="0.3">
      <c r="A133" t="s">
        <v>25</v>
      </c>
      <c r="B133" t="s">
        <v>26</v>
      </c>
      <c r="C133" t="s">
        <v>27</v>
      </c>
      <c r="D133">
        <v>32</v>
      </c>
      <c r="E133">
        <v>1</v>
      </c>
      <c r="F133" t="s">
        <v>129</v>
      </c>
      <c r="G133" t="s">
        <v>100</v>
      </c>
      <c r="H133" t="s">
        <v>130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35</v>
      </c>
      <c r="Q133" t="s">
        <v>36</v>
      </c>
      <c r="R133" s="1" t="s">
        <v>63</v>
      </c>
    </row>
    <row r="134" spans="1:18" x14ac:dyDescent="0.3">
      <c r="A134" s="4" t="s">
        <v>25</v>
      </c>
      <c r="B134" s="4" t="s">
        <v>26</v>
      </c>
      <c r="C134" s="4" t="s">
        <v>27</v>
      </c>
      <c r="D134" s="4">
        <v>34</v>
      </c>
      <c r="E134" s="4">
        <v>1</v>
      </c>
      <c r="F134" s="4" t="s">
        <v>42</v>
      </c>
      <c r="G134" s="4" t="s">
        <v>46</v>
      </c>
      <c r="H134" s="4" t="s">
        <v>105</v>
      </c>
      <c r="I134" s="4" t="s">
        <v>41</v>
      </c>
      <c r="J134" s="4" t="s">
        <v>41</v>
      </c>
      <c r="K134" s="4" t="s">
        <v>34</v>
      </c>
      <c r="L134" s="4" t="s">
        <v>34</v>
      </c>
      <c r="M134" s="4" t="s">
        <v>34</v>
      </c>
      <c r="N134" s="4" t="s">
        <v>34</v>
      </c>
      <c r="O134" s="4" t="s">
        <v>34</v>
      </c>
      <c r="P134" s="4" t="s">
        <v>35</v>
      </c>
      <c r="Q134" s="4" t="s">
        <v>36</v>
      </c>
      <c r="R134" s="5" t="s">
        <v>38</v>
      </c>
    </row>
    <row r="135" spans="1:18" x14ac:dyDescent="0.3">
      <c r="A135" t="s">
        <v>25</v>
      </c>
      <c r="B135" t="s">
        <v>26</v>
      </c>
      <c r="C135" t="s">
        <v>27</v>
      </c>
      <c r="D135">
        <v>43</v>
      </c>
      <c r="E135">
        <v>2</v>
      </c>
      <c r="F135" t="s">
        <v>42</v>
      </c>
      <c r="G135" t="s">
        <v>32</v>
      </c>
      <c r="H135" t="s">
        <v>131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49</v>
      </c>
      <c r="Q135" t="s">
        <v>36</v>
      </c>
      <c r="R135" s="1" t="s">
        <v>38</v>
      </c>
    </row>
    <row r="136" spans="1:18" x14ac:dyDescent="0.3">
      <c r="A136" s="4" t="s">
        <v>25</v>
      </c>
      <c r="B136" s="4" t="s">
        <v>26</v>
      </c>
      <c r="C136" s="4" t="s">
        <v>27</v>
      </c>
      <c r="D136" s="4">
        <v>43</v>
      </c>
      <c r="E136" s="4">
        <v>4</v>
      </c>
      <c r="F136" s="4" t="s">
        <v>42</v>
      </c>
      <c r="G136" s="4" t="s">
        <v>67</v>
      </c>
      <c r="H136" s="4" t="s">
        <v>132</v>
      </c>
      <c r="I136" s="4" t="s">
        <v>34</v>
      </c>
      <c r="J136" s="4" t="s">
        <v>34</v>
      </c>
      <c r="K136" s="4" t="s">
        <v>34</v>
      </c>
      <c r="L136" s="4" t="s">
        <v>34</v>
      </c>
      <c r="M136" s="4" t="s">
        <v>34</v>
      </c>
      <c r="N136" s="4" t="s">
        <v>34</v>
      </c>
      <c r="O136" s="4" t="s">
        <v>34</v>
      </c>
      <c r="P136" s="4" t="s">
        <v>49</v>
      </c>
      <c r="Q136" s="4" t="s">
        <v>36</v>
      </c>
      <c r="R136" s="5" t="s">
        <v>133</v>
      </c>
    </row>
    <row r="137" spans="1:18" x14ac:dyDescent="0.3">
      <c r="A137" t="s">
        <v>25</v>
      </c>
      <c r="B137" t="s">
        <v>26</v>
      </c>
      <c r="C137" t="s">
        <v>27</v>
      </c>
      <c r="D137">
        <v>48</v>
      </c>
      <c r="E137">
        <v>1</v>
      </c>
      <c r="F137" t="s">
        <v>42</v>
      </c>
      <c r="G137" t="s">
        <v>46</v>
      </c>
      <c r="H137" t="s">
        <v>40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49</v>
      </c>
      <c r="Q137" t="s">
        <v>36</v>
      </c>
      <c r="R137" s="1" t="s">
        <v>63</v>
      </c>
    </row>
    <row r="138" spans="1:18" x14ac:dyDescent="0.3">
      <c r="A138" s="4" t="s">
        <v>25</v>
      </c>
      <c r="B138" s="4" t="s">
        <v>26</v>
      </c>
      <c r="C138" s="4" t="s">
        <v>27</v>
      </c>
      <c r="D138" s="4">
        <v>53</v>
      </c>
      <c r="E138" s="4">
        <v>1</v>
      </c>
      <c r="F138" s="4" t="s">
        <v>53</v>
      </c>
      <c r="G138" s="4" t="s">
        <v>46</v>
      </c>
      <c r="H138" s="4" t="s">
        <v>153</v>
      </c>
      <c r="I138" s="4" t="s">
        <v>34</v>
      </c>
      <c r="J138" s="4" t="s">
        <v>41</v>
      </c>
      <c r="K138" s="4" t="s">
        <v>34</v>
      </c>
      <c r="L138" s="4" t="s">
        <v>34</v>
      </c>
      <c r="M138" s="4" t="s">
        <v>34</v>
      </c>
      <c r="N138" s="4" t="s">
        <v>34</v>
      </c>
      <c r="O138" s="4" t="s">
        <v>34</v>
      </c>
      <c r="P138" s="4" t="s">
        <v>49</v>
      </c>
      <c r="Q138" s="4" t="s">
        <v>36</v>
      </c>
      <c r="R138" s="5" t="s">
        <v>153</v>
      </c>
    </row>
    <row r="139" spans="1:18" x14ac:dyDescent="0.3">
      <c r="A139" t="s">
        <v>25</v>
      </c>
      <c r="B139" t="s">
        <v>26</v>
      </c>
      <c r="C139" t="s">
        <v>27</v>
      </c>
      <c r="D139">
        <v>56</v>
      </c>
      <c r="E139">
        <v>2.5</v>
      </c>
      <c r="F139" t="s">
        <v>37</v>
      </c>
      <c r="G139" t="s">
        <v>46</v>
      </c>
      <c r="H139" t="s">
        <v>61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35</v>
      </c>
      <c r="Q139" t="s">
        <v>36</v>
      </c>
      <c r="R139" s="1" t="s">
        <v>63</v>
      </c>
    </row>
    <row r="140" spans="1:18" x14ac:dyDescent="0.3">
      <c r="A140" s="4" t="s">
        <v>25</v>
      </c>
      <c r="B140" s="4" t="s">
        <v>26</v>
      </c>
      <c r="C140" s="4" t="s">
        <v>27</v>
      </c>
      <c r="D140" s="4">
        <v>58</v>
      </c>
      <c r="E140" s="4">
        <v>1</v>
      </c>
      <c r="F140" s="4" t="s">
        <v>129</v>
      </c>
      <c r="G140" s="4" t="s">
        <v>46</v>
      </c>
      <c r="H140" s="4" t="s">
        <v>168</v>
      </c>
      <c r="I140" s="4" t="s">
        <v>34</v>
      </c>
      <c r="J140" s="4" t="s">
        <v>34</v>
      </c>
      <c r="K140" s="4" t="s">
        <v>34</v>
      </c>
      <c r="L140" s="4" t="s">
        <v>41</v>
      </c>
      <c r="M140" s="4" t="s">
        <v>41</v>
      </c>
      <c r="N140" s="4" t="s">
        <v>164</v>
      </c>
      <c r="O140" s="4" t="s">
        <v>34</v>
      </c>
      <c r="P140" s="4" t="s">
        <v>35</v>
      </c>
      <c r="Q140" s="4" t="s">
        <v>36</v>
      </c>
      <c r="R140" s="5" t="s">
        <v>150</v>
      </c>
    </row>
    <row r="141" spans="1:18" x14ac:dyDescent="0.3">
      <c r="A141" t="s">
        <v>25</v>
      </c>
      <c r="B141" t="s">
        <v>26</v>
      </c>
      <c r="C141" t="s">
        <v>27</v>
      </c>
      <c r="D141">
        <v>66</v>
      </c>
      <c r="E141">
        <v>2</v>
      </c>
      <c r="F141" t="s">
        <v>42</v>
      </c>
      <c r="G141" t="s">
        <v>46</v>
      </c>
      <c r="H141" t="s">
        <v>101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35</v>
      </c>
      <c r="Q141" t="s">
        <v>36</v>
      </c>
      <c r="R141" s="1" t="s">
        <v>38</v>
      </c>
    </row>
    <row r="142" spans="1:18" x14ac:dyDescent="0.3">
      <c r="A142" s="4" t="s">
        <v>25</v>
      </c>
      <c r="B142" s="4" t="s">
        <v>26</v>
      </c>
      <c r="C142" s="4" t="s">
        <v>27</v>
      </c>
      <c r="D142" s="4">
        <v>68</v>
      </c>
      <c r="E142" s="4">
        <v>1</v>
      </c>
      <c r="F142" s="4" t="s">
        <v>129</v>
      </c>
      <c r="G142" s="4" t="s">
        <v>108</v>
      </c>
      <c r="H142" s="4" t="s">
        <v>165</v>
      </c>
      <c r="I142" s="4" t="s">
        <v>34</v>
      </c>
      <c r="J142" s="4" t="s">
        <v>34</v>
      </c>
      <c r="K142" s="4" t="s">
        <v>34</v>
      </c>
      <c r="L142" s="4" t="s">
        <v>34</v>
      </c>
      <c r="M142" s="4" t="s">
        <v>34</v>
      </c>
      <c r="N142" s="4" t="s">
        <v>41</v>
      </c>
      <c r="O142" s="4" t="s">
        <v>34</v>
      </c>
      <c r="P142" s="4" t="s">
        <v>35</v>
      </c>
      <c r="Q142" s="4" t="s">
        <v>36</v>
      </c>
      <c r="R142" s="5" t="s">
        <v>48</v>
      </c>
    </row>
    <row r="143" spans="1:18" x14ac:dyDescent="0.3">
      <c r="A143" t="s">
        <v>25</v>
      </c>
      <c r="B143" t="s">
        <v>26</v>
      </c>
      <c r="C143" t="s">
        <v>27</v>
      </c>
      <c r="D143">
        <v>74</v>
      </c>
      <c r="E143">
        <v>1</v>
      </c>
      <c r="F143" t="s">
        <v>42</v>
      </c>
      <c r="G143" t="s">
        <v>108</v>
      </c>
      <c r="H143" t="s">
        <v>166</v>
      </c>
      <c r="I143" t="s">
        <v>41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49</v>
      </c>
      <c r="Q143" t="s">
        <v>36</v>
      </c>
      <c r="R143" s="1" t="s">
        <v>104</v>
      </c>
    </row>
    <row r="144" spans="1:18" x14ac:dyDescent="0.3">
      <c r="A144" s="4" t="s">
        <v>25</v>
      </c>
      <c r="B144" s="4" t="s">
        <v>26</v>
      </c>
      <c r="C144" s="4" t="s">
        <v>27</v>
      </c>
      <c r="D144" s="4">
        <v>76</v>
      </c>
      <c r="E144" s="4">
        <v>1</v>
      </c>
      <c r="F144" s="4" t="s">
        <v>42</v>
      </c>
      <c r="G144" s="4" t="s">
        <v>108</v>
      </c>
      <c r="H144" s="4" t="s">
        <v>118</v>
      </c>
      <c r="I144" s="4" t="s">
        <v>34</v>
      </c>
      <c r="J144" s="4" t="s">
        <v>34</v>
      </c>
      <c r="K144" s="4" t="s">
        <v>34</v>
      </c>
      <c r="L144" s="4" t="s">
        <v>34</v>
      </c>
      <c r="M144" s="4" t="s">
        <v>34</v>
      </c>
      <c r="N144" s="4" t="s">
        <v>34</v>
      </c>
      <c r="O144" s="4" t="s">
        <v>34</v>
      </c>
      <c r="P144" s="4" t="s">
        <v>49</v>
      </c>
      <c r="Q144" s="4" t="s">
        <v>36</v>
      </c>
      <c r="R144" s="5" t="s">
        <v>43</v>
      </c>
    </row>
    <row r="145" spans="1:18" x14ac:dyDescent="0.3">
      <c r="A145" t="s">
        <v>25</v>
      </c>
      <c r="B145" t="s">
        <v>26</v>
      </c>
      <c r="C145" t="s">
        <v>27</v>
      </c>
      <c r="D145">
        <v>77</v>
      </c>
      <c r="E145">
        <v>1</v>
      </c>
      <c r="F145" t="s">
        <v>53</v>
      </c>
      <c r="G145" t="s">
        <v>149</v>
      </c>
      <c r="H145" t="s">
        <v>153</v>
      </c>
      <c r="I145" t="s">
        <v>34</v>
      </c>
      <c r="J145" t="s">
        <v>34</v>
      </c>
      <c r="K145" t="s">
        <v>41</v>
      </c>
      <c r="L145" t="s">
        <v>41</v>
      </c>
      <c r="M145" t="s">
        <v>34</v>
      </c>
      <c r="N145" t="s">
        <v>34</v>
      </c>
      <c r="O145" t="s">
        <v>41</v>
      </c>
      <c r="P145" t="s">
        <v>49</v>
      </c>
      <c r="Q145" t="s">
        <v>36</v>
      </c>
      <c r="R145" s="1" t="s">
        <v>153</v>
      </c>
    </row>
    <row r="146" spans="1:18" x14ac:dyDescent="0.3">
      <c r="A146" s="4" t="s">
        <v>25</v>
      </c>
      <c r="B146" s="4" t="s">
        <v>26</v>
      </c>
      <c r="C146" s="4" t="s">
        <v>27</v>
      </c>
      <c r="D146" s="4">
        <v>89</v>
      </c>
      <c r="E146" s="4">
        <v>1</v>
      </c>
      <c r="F146" s="4" t="s">
        <v>37</v>
      </c>
      <c r="G146" s="4" t="s">
        <v>46</v>
      </c>
      <c r="H146" s="4" t="s">
        <v>33</v>
      </c>
      <c r="I146" s="4" t="s">
        <v>34</v>
      </c>
      <c r="J146" s="4" t="s">
        <v>34</v>
      </c>
      <c r="K146" s="4" t="s">
        <v>34</v>
      </c>
      <c r="L146" s="4" t="s">
        <v>34</v>
      </c>
      <c r="M146" s="4" t="s">
        <v>34</v>
      </c>
      <c r="N146" s="4" t="s">
        <v>34</v>
      </c>
      <c r="O146" s="4" t="s">
        <v>34</v>
      </c>
      <c r="P146" s="4" t="s">
        <v>35</v>
      </c>
      <c r="Q146" s="4" t="s">
        <v>36</v>
      </c>
      <c r="R146" s="5" t="s">
        <v>102</v>
      </c>
    </row>
    <row r="147" spans="1:18" x14ac:dyDescent="0.3">
      <c r="A147" t="s">
        <v>25</v>
      </c>
      <c r="B147" t="s">
        <v>26</v>
      </c>
      <c r="C147" t="s">
        <v>27</v>
      </c>
      <c r="D147">
        <v>92</v>
      </c>
      <c r="E147">
        <v>2</v>
      </c>
      <c r="F147" t="s">
        <v>42</v>
      </c>
      <c r="G147" t="s">
        <v>108</v>
      </c>
      <c r="H147" t="s">
        <v>118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35</v>
      </c>
      <c r="Q147" t="s">
        <v>36</v>
      </c>
      <c r="R147" s="1" t="s">
        <v>38</v>
      </c>
    </row>
    <row r="148" spans="1:18" x14ac:dyDescent="0.3">
      <c r="A148" s="4" t="s">
        <v>25</v>
      </c>
      <c r="B148" s="4" t="s">
        <v>26</v>
      </c>
      <c r="C148" s="4" t="s">
        <v>27</v>
      </c>
      <c r="D148" s="4">
        <v>96</v>
      </c>
      <c r="E148" s="4">
        <v>1</v>
      </c>
      <c r="F148" s="4" t="s">
        <v>37</v>
      </c>
      <c r="G148" s="4" t="s">
        <v>46</v>
      </c>
      <c r="H148" s="4" t="s">
        <v>167</v>
      </c>
      <c r="I148" s="4" t="s">
        <v>34</v>
      </c>
      <c r="J148" s="4" t="s">
        <v>34</v>
      </c>
      <c r="K148" s="4" t="s">
        <v>34</v>
      </c>
      <c r="L148" s="4" t="s">
        <v>34</v>
      </c>
      <c r="M148" s="4" t="s">
        <v>34</v>
      </c>
      <c r="N148" s="4" t="s">
        <v>34</v>
      </c>
      <c r="O148" s="4" t="s">
        <v>34</v>
      </c>
      <c r="P148" s="4" t="s">
        <v>35</v>
      </c>
      <c r="Q148" s="4" t="s">
        <v>36</v>
      </c>
      <c r="R148" s="5" t="s">
        <v>63</v>
      </c>
    </row>
    <row r="149" spans="1:18" x14ac:dyDescent="0.3">
      <c r="A149" t="s">
        <v>25</v>
      </c>
      <c r="B149" t="s">
        <v>26</v>
      </c>
      <c r="C149" t="s">
        <v>27</v>
      </c>
      <c r="D149">
        <v>101</v>
      </c>
      <c r="E149">
        <v>1</v>
      </c>
      <c r="F149" t="s">
        <v>107</v>
      </c>
      <c r="G149" t="s">
        <v>108</v>
      </c>
      <c r="H149" t="s">
        <v>33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35</v>
      </c>
      <c r="Q149" t="s">
        <v>36</v>
      </c>
      <c r="R149" s="1" t="s">
        <v>63</v>
      </c>
    </row>
    <row r="150" spans="1:18" x14ac:dyDescent="0.3">
      <c r="A150" s="4" t="s">
        <v>25</v>
      </c>
      <c r="B150" s="4" t="s">
        <v>26</v>
      </c>
      <c r="C150" s="4" t="s">
        <v>27</v>
      </c>
      <c r="D150" s="4">
        <v>102</v>
      </c>
      <c r="E150" s="4">
        <v>2</v>
      </c>
      <c r="F150" s="4" t="s">
        <v>37</v>
      </c>
      <c r="G150" s="4" t="s">
        <v>108</v>
      </c>
      <c r="H150" s="4" t="s">
        <v>119</v>
      </c>
      <c r="I150" s="4" t="s">
        <v>34</v>
      </c>
      <c r="J150" s="4" t="s">
        <v>34</v>
      </c>
      <c r="K150" s="4" t="s">
        <v>34</v>
      </c>
      <c r="L150" s="4" t="s">
        <v>34</v>
      </c>
      <c r="M150" s="4" t="s">
        <v>34</v>
      </c>
      <c r="N150" s="4" t="s">
        <v>34</v>
      </c>
      <c r="O150" s="4" t="s">
        <v>34</v>
      </c>
      <c r="P150" s="4" t="s">
        <v>35</v>
      </c>
      <c r="Q150" s="4" t="s">
        <v>36</v>
      </c>
      <c r="R150" s="5" t="s">
        <v>63</v>
      </c>
    </row>
    <row r="151" spans="1:18" x14ac:dyDescent="0.3">
      <c r="A151" t="s">
        <v>25</v>
      </c>
      <c r="B151" t="s">
        <v>26</v>
      </c>
      <c r="C151" t="s">
        <v>27</v>
      </c>
      <c r="D151">
        <v>103</v>
      </c>
      <c r="E151">
        <v>3</v>
      </c>
      <c r="F151" t="s">
        <v>129</v>
      </c>
      <c r="G151" t="s">
        <v>46</v>
      </c>
      <c r="H151" t="s">
        <v>134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35</v>
      </c>
      <c r="Q151" t="s">
        <v>36</v>
      </c>
      <c r="R151" s="1" t="s">
        <v>63</v>
      </c>
    </row>
    <row r="152" spans="1:18" x14ac:dyDescent="0.3">
      <c r="A152" s="4" t="s">
        <v>25</v>
      </c>
      <c r="B152" s="4" t="s">
        <v>26</v>
      </c>
      <c r="C152" s="4" t="s">
        <v>27</v>
      </c>
      <c r="D152" s="4">
        <v>105</v>
      </c>
      <c r="E152" s="4">
        <v>1</v>
      </c>
      <c r="F152" s="4" t="s">
        <v>42</v>
      </c>
      <c r="G152" s="4" t="s">
        <v>46</v>
      </c>
      <c r="H152" s="4" t="s">
        <v>135</v>
      </c>
      <c r="I152" s="4" t="s">
        <v>34</v>
      </c>
      <c r="J152" s="4" t="s">
        <v>34</v>
      </c>
      <c r="K152" s="4" t="s">
        <v>34</v>
      </c>
      <c r="L152" s="4" t="s">
        <v>34</v>
      </c>
      <c r="M152" s="4" t="s">
        <v>34</v>
      </c>
      <c r="N152" s="4" t="s">
        <v>34</v>
      </c>
      <c r="O152" s="4" t="s">
        <v>34</v>
      </c>
      <c r="P152" s="4" t="s">
        <v>35</v>
      </c>
      <c r="Q152" s="4" t="s">
        <v>36</v>
      </c>
      <c r="R152" s="5" t="s">
        <v>63</v>
      </c>
    </row>
    <row r="153" spans="1:18" x14ac:dyDescent="0.3">
      <c r="A153" t="s">
        <v>25</v>
      </c>
      <c r="B153" t="s">
        <v>26</v>
      </c>
      <c r="C153" t="s">
        <v>27</v>
      </c>
      <c r="D153">
        <v>111</v>
      </c>
      <c r="E153">
        <v>1</v>
      </c>
      <c r="F153" t="s">
        <v>129</v>
      </c>
      <c r="G153" t="s">
        <v>67</v>
      </c>
      <c r="H153" t="s">
        <v>136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35</v>
      </c>
      <c r="Q153" t="s">
        <v>36</v>
      </c>
      <c r="R153" s="1" t="s">
        <v>38</v>
      </c>
    </row>
    <row r="154" spans="1:18" x14ac:dyDescent="0.3">
      <c r="A154" s="4" t="s">
        <v>25</v>
      </c>
      <c r="B154" s="4" t="s">
        <v>26</v>
      </c>
      <c r="C154" s="4" t="s">
        <v>27</v>
      </c>
      <c r="D154" s="4">
        <v>118</v>
      </c>
      <c r="E154" s="4">
        <v>1</v>
      </c>
      <c r="F154" s="4" t="s">
        <v>42</v>
      </c>
      <c r="G154" s="4" t="s">
        <v>108</v>
      </c>
      <c r="H154" s="4" t="s">
        <v>137</v>
      </c>
      <c r="I154" s="4" t="s">
        <v>34</v>
      </c>
      <c r="J154" s="4" t="s">
        <v>34</v>
      </c>
      <c r="K154" s="4" t="s">
        <v>34</v>
      </c>
      <c r="L154" s="4" t="s">
        <v>34</v>
      </c>
      <c r="M154" s="4" t="s">
        <v>41</v>
      </c>
      <c r="N154" s="4" t="s">
        <v>34</v>
      </c>
      <c r="O154" s="4" t="s">
        <v>34</v>
      </c>
      <c r="P154" s="4" t="s">
        <v>35</v>
      </c>
      <c r="Q154" s="4" t="s">
        <v>36</v>
      </c>
      <c r="R154" s="5" t="s">
        <v>104</v>
      </c>
    </row>
    <row r="155" spans="1:18" x14ac:dyDescent="0.3">
      <c r="A155" t="s">
        <v>25</v>
      </c>
      <c r="B155" t="s">
        <v>26</v>
      </c>
      <c r="C155" t="s">
        <v>27</v>
      </c>
      <c r="D155">
        <v>119</v>
      </c>
      <c r="E155">
        <v>1</v>
      </c>
      <c r="F155" t="s">
        <v>42</v>
      </c>
      <c r="G155" t="s">
        <v>108</v>
      </c>
      <c r="H155" t="s">
        <v>61</v>
      </c>
      <c r="I155" t="s">
        <v>34</v>
      </c>
      <c r="J155" t="s">
        <v>34</v>
      </c>
      <c r="K155" t="s">
        <v>34</v>
      </c>
      <c r="L155" t="s">
        <v>34</v>
      </c>
      <c r="M155" t="s">
        <v>41</v>
      </c>
      <c r="N155" t="s">
        <v>34</v>
      </c>
      <c r="O155" t="s">
        <v>34</v>
      </c>
      <c r="P155" t="s">
        <v>35</v>
      </c>
      <c r="Q155" t="s">
        <v>36</v>
      </c>
      <c r="R155" s="1" t="s">
        <v>104</v>
      </c>
    </row>
    <row r="156" spans="1:18" x14ac:dyDescent="0.3">
      <c r="A156" s="4" t="s">
        <v>25</v>
      </c>
      <c r="B156" s="4" t="s">
        <v>26</v>
      </c>
      <c r="C156" s="4" t="s">
        <v>27</v>
      </c>
      <c r="D156" s="4">
        <v>120</v>
      </c>
      <c r="E156" s="4">
        <v>1</v>
      </c>
      <c r="F156" s="4" t="s">
        <v>42</v>
      </c>
      <c r="G156" s="4" t="s">
        <v>108</v>
      </c>
      <c r="H156" s="4" t="s">
        <v>40</v>
      </c>
      <c r="I156" s="4" t="s">
        <v>34</v>
      </c>
      <c r="J156" s="4" t="s">
        <v>34</v>
      </c>
      <c r="K156" s="4" t="s">
        <v>34</v>
      </c>
      <c r="L156" s="4" t="s">
        <v>34</v>
      </c>
      <c r="M156" s="4" t="s">
        <v>41</v>
      </c>
      <c r="N156" s="4" t="s">
        <v>41</v>
      </c>
      <c r="O156" s="4" t="s">
        <v>34</v>
      </c>
      <c r="P156" s="4" t="s">
        <v>35</v>
      </c>
      <c r="Q156" s="4" t="s">
        <v>36</v>
      </c>
      <c r="R156" s="5" t="s">
        <v>104</v>
      </c>
    </row>
    <row r="157" spans="1:18" x14ac:dyDescent="0.3">
      <c r="A157" t="s">
        <v>25</v>
      </c>
      <c r="B157" t="s">
        <v>26</v>
      </c>
      <c r="C157" t="s">
        <v>27</v>
      </c>
      <c r="D157">
        <v>121</v>
      </c>
      <c r="E157">
        <v>1</v>
      </c>
      <c r="F157" t="s">
        <v>42</v>
      </c>
      <c r="G157" t="s">
        <v>46</v>
      </c>
      <c r="H157" t="s">
        <v>139</v>
      </c>
      <c r="I157" t="s">
        <v>34</v>
      </c>
      <c r="J157" t="s">
        <v>41</v>
      </c>
      <c r="K157" t="s">
        <v>34</v>
      </c>
      <c r="L157" t="s">
        <v>34</v>
      </c>
      <c r="M157" t="s">
        <v>41</v>
      </c>
      <c r="N157" t="s">
        <v>34</v>
      </c>
      <c r="O157" t="s">
        <v>34</v>
      </c>
      <c r="P157" t="s">
        <v>35</v>
      </c>
      <c r="Q157" t="s">
        <v>36</v>
      </c>
      <c r="R157" s="1" t="s">
        <v>104</v>
      </c>
    </row>
    <row r="158" spans="1:18" x14ac:dyDescent="0.3">
      <c r="A158" s="4" t="s">
        <v>25</v>
      </c>
      <c r="B158" s="4" t="s">
        <v>26</v>
      </c>
      <c r="C158" s="4" t="s">
        <v>27</v>
      </c>
      <c r="D158" s="4">
        <v>126</v>
      </c>
      <c r="E158" s="4">
        <v>1</v>
      </c>
      <c r="F158" s="4" t="s">
        <v>42</v>
      </c>
      <c r="G158" s="4" t="s">
        <v>46</v>
      </c>
      <c r="H158" s="4" t="s">
        <v>140</v>
      </c>
      <c r="I158" s="4" t="s">
        <v>34</v>
      </c>
      <c r="J158" s="4" t="s">
        <v>34</v>
      </c>
      <c r="K158" s="4" t="s">
        <v>34</v>
      </c>
      <c r="L158" s="4" t="s">
        <v>34</v>
      </c>
      <c r="M158" s="4" t="s">
        <v>34</v>
      </c>
      <c r="N158" s="4" t="s">
        <v>34</v>
      </c>
      <c r="O158" s="4" t="s">
        <v>34</v>
      </c>
      <c r="P158" s="4" t="s">
        <v>49</v>
      </c>
      <c r="Q158" s="4" t="s">
        <v>36</v>
      </c>
      <c r="R158" s="5" t="s">
        <v>104</v>
      </c>
    </row>
    <row r="159" spans="1:18" x14ac:dyDescent="0.3">
      <c r="A159" t="s">
        <v>25</v>
      </c>
      <c r="B159" t="s">
        <v>26</v>
      </c>
      <c r="C159" t="s">
        <v>27</v>
      </c>
      <c r="D159">
        <v>128</v>
      </c>
      <c r="E159">
        <v>1</v>
      </c>
      <c r="F159" t="s">
        <v>42</v>
      </c>
      <c r="G159" t="s">
        <v>32</v>
      </c>
      <c r="H159" t="s">
        <v>141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41</v>
      </c>
      <c r="O159" t="s">
        <v>34</v>
      </c>
      <c r="P159" t="s">
        <v>49</v>
      </c>
      <c r="Q159" t="s">
        <v>36</v>
      </c>
      <c r="R159" s="1" t="s">
        <v>48</v>
      </c>
    </row>
    <row r="160" spans="1:18" x14ac:dyDescent="0.3">
      <c r="A160" s="4" t="s">
        <v>25</v>
      </c>
      <c r="B160" s="4" t="s">
        <v>26</v>
      </c>
      <c r="C160" s="4" t="s">
        <v>27</v>
      </c>
      <c r="D160" s="4">
        <v>129</v>
      </c>
      <c r="E160" s="4">
        <v>2</v>
      </c>
      <c r="F160" s="4" t="s">
        <v>42</v>
      </c>
      <c r="G160" s="4" t="s">
        <v>32</v>
      </c>
      <c r="H160" s="4" t="s">
        <v>142</v>
      </c>
      <c r="I160" s="4" t="s">
        <v>34</v>
      </c>
      <c r="J160" s="4" t="s">
        <v>34</v>
      </c>
      <c r="K160" s="4" t="s">
        <v>34</v>
      </c>
      <c r="L160" s="4" t="s">
        <v>34</v>
      </c>
      <c r="M160" s="4" t="s">
        <v>34</v>
      </c>
      <c r="N160" s="4" t="s">
        <v>34</v>
      </c>
      <c r="O160" s="4" t="s">
        <v>34</v>
      </c>
      <c r="P160" s="4" t="s">
        <v>49</v>
      </c>
      <c r="Q160" s="4" t="s">
        <v>36</v>
      </c>
      <c r="R160" s="5" t="s">
        <v>63</v>
      </c>
    </row>
    <row r="161" spans="1:18" x14ac:dyDescent="0.3">
      <c r="A161" t="s">
        <v>25</v>
      </c>
      <c r="B161" t="s">
        <v>26</v>
      </c>
      <c r="C161" t="s">
        <v>27</v>
      </c>
      <c r="D161">
        <v>133</v>
      </c>
      <c r="E161">
        <v>1</v>
      </c>
      <c r="F161" t="s">
        <v>42</v>
      </c>
      <c r="G161" t="s">
        <v>67</v>
      </c>
      <c r="H161" t="s">
        <v>40</v>
      </c>
      <c r="I161" t="s">
        <v>34</v>
      </c>
      <c r="J161" t="s">
        <v>41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49</v>
      </c>
      <c r="Q161" t="s">
        <v>36</v>
      </c>
      <c r="R161" s="1" t="s">
        <v>43</v>
      </c>
    </row>
    <row r="162" spans="1:18" x14ac:dyDescent="0.3">
      <c r="A162" s="4" t="s">
        <v>25</v>
      </c>
      <c r="B162" s="4" t="s">
        <v>26</v>
      </c>
      <c r="C162" s="4" t="s">
        <v>27</v>
      </c>
      <c r="D162" s="4">
        <v>140</v>
      </c>
      <c r="E162" s="4">
        <v>1</v>
      </c>
      <c r="F162" s="4" t="s">
        <v>42</v>
      </c>
      <c r="G162" s="4" t="s">
        <v>46</v>
      </c>
      <c r="H162" s="4" t="s">
        <v>143</v>
      </c>
      <c r="I162" s="4" t="s">
        <v>41</v>
      </c>
      <c r="J162" s="4" t="s">
        <v>34</v>
      </c>
      <c r="K162" s="4" t="s">
        <v>34</v>
      </c>
      <c r="L162" s="4" t="s">
        <v>34</v>
      </c>
      <c r="M162" s="4" t="s">
        <v>34</v>
      </c>
      <c r="N162" s="4" t="s">
        <v>34</v>
      </c>
      <c r="O162" s="4" t="s">
        <v>34</v>
      </c>
      <c r="P162" s="4" t="s">
        <v>35</v>
      </c>
      <c r="Q162" s="4" t="s">
        <v>36</v>
      </c>
      <c r="R162" s="5" t="s">
        <v>48</v>
      </c>
    </row>
    <row r="163" spans="1:18" x14ac:dyDescent="0.3">
      <c r="A163" t="s">
        <v>25</v>
      </c>
      <c r="B163" t="s">
        <v>26</v>
      </c>
      <c r="C163" t="s">
        <v>27</v>
      </c>
      <c r="D163">
        <v>143</v>
      </c>
      <c r="E163">
        <v>1</v>
      </c>
      <c r="F163" t="s">
        <v>42</v>
      </c>
      <c r="G163" t="s">
        <v>100</v>
      </c>
      <c r="H163" t="s">
        <v>40</v>
      </c>
      <c r="I163" t="s">
        <v>34</v>
      </c>
      <c r="J163" t="s">
        <v>34</v>
      </c>
      <c r="K163" t="s">
        <v>41</v>
      </c>
      <c r="L163" t="s">
        <v>41</v>
      </c>
      <c r="M163" t="s">
        <v>34</v>
      </c>
      <c r="N163" t="s">
        <v>34</v>
      </c>
      <c r="O163" t="s">
        <v>34</v>
      </c>
      <c r="P163" t="s">
        <v>49</v>
      </c>
      <c r="Q163" t="s">
        <v>36</v>
      </c>
      <c r="R163" s="1" t="s">
        <v>43</v>
      </c>
    </row>
    <row r="164" spans="1:18" x14ac:dyDescent="0.3">
      <c r="A164" s="4" t="s">
        <v>25</v>
      </c>
      <c r="B164" s="4" t="s">
        <v>26</v>
      </c>
      <c r="C164" s="4" t="s">
        <v>27</v>
      </c>
      <c r="D164" s="4">
        <v>150</v>
      </c>
      <c r="E164" s="4">
        <v>1</v>
      </c>
      <c r="F164" s="4" t="s">
        <v>42</v>
      </c>
      <c r="G164" s="4" t="s">
        <v>67</v>
      </c>
      <c r="H164" s="4" t="s">
        <v>40</v>
      </c>
      <c r="I164" s="4" t="s">
        <v>34</v>
      </c>
      <c r="J164" s="4" t="s">
        <v>34</v>
      </c>
      <c r="K164" s="4" t="s">
        <v>41</v>
      </c>
      <c r="L164" s="4" t="s">
        <v>41</v>
      </c>
      <c r="M164" s="4" t="s">
        <v>34</v>
      </c>
      <c r="N164" s="4" t="s">
        <v>34</v>
      </c>
      <c r="O164" s="4" t="s">
        <v>34</v>
      </c>
      <c r="P164" s="4" t="s">
        <v>49</v>
      </c>
      <c r="Q164" s="4" t="s">
        <v>36</v>
      </c>
      <c r="R164" s="5" t="s">
        <v>104</v>
      </c>
    </row>
    <row r="165" spans="1:18" x14ac:dyDescent="0.3">
      <c r="A165" t="s">
        <v>25</v>
      </c>
      <c r="B165" t="s">
        <v>26</v>
      </c>
      <c r="C165" t="s">
        <v>27</v>
      </c>
      <c r="D165">
        <v>156</v>
      </c>
      <c r="E165">
        <v>2</v>
      </c>
      <c r="F165" t="s">
        <v>42</v>
      </c>
      <c r="G165" t="s">
        <v>46</v>
      </c>
      <c r="H165" t="s">
        <v>101</v>
      </c>
      <c r="I165" t="s">
        <v>34</v>
      </c>
      <c r="J165" t="s">
        <v>34</v>
      </c>
      <c r="K165" t="s">
        <v>34</v>
      </c>
      <c r="L165" t="s">
        <v>34</v>
      </c>
      <c r="M165" t="s">
        <v>41</v>
      </c>
      <c r="N165" t="s">
        <v>34</v>
      </c>
      <c r="O165" t="s">
        <v>34</v>
      </c>
      <c r="P165" t="s">
        <v>49</v>
      </c>
      <c r="Q165" t="s">
        <v>56</v>
      </c>
      <c r="R165" s="1" t="s">
        <v>104</v>
      </c>
    </row>
    <row r="166" spans="1:18" x14ac:dyDescent="0.3">
      <c r="A166" s="4" t="s">
        <v>25</v>
      </c>
      <c r="B166" s="4" t="s">
        <v>26</v>
      </c>
      <c r="C166" s="4" t="s">
        <v>27</v>
      </c>
      <c r="D166" s="4">
        <v>158</v>
      </c>
      <c r="E166" s="4">
        <v>3</v>
      </c>
      <c r="F166" s="4" t="s">
        <v>42</v>
      </c>
      <c r="G166" s="4" t="s">
        <v>32</v>
      </c>
      <c r="H166" s="4" t="s">
        <v>50</v>
      </c>
      <c r="I166" s="4" t="s">
        <v>34</v>
      </c>
      <c r="J166" s="4" t="s">
        <v>34</v>
      </c>
      <c r="K166" s="4" t="s">
        <v>34</v>
      </c>
      <c r="L166" s="4" t="s">
        <v>34</v>
      </c>
      <c r="M166" s="4" t="s">
        <v>34</v>
      </c>
      <c r="N166" s="4" t="s">
        <v>34</v>
      </c>
      <c r="O166" s="4" t="s">
        <v>34</v>
      </c>
      <c r="P166" s="4" t="s">
        <v>35</v>
      </c>
      <c r="Q166" s="4" t="s">
        <v>56</v>
      </c>
      <c r="R166" s="5" t="s">
        <v>43</v>
      </c>
    </row>
    <row r="167" spans="1:18" x14ac:dyDescent="0.3">
      <c r="A167" t="s">
        <v>25</v>
      </c>
      <c r="B167" t="s">
        <v>26</v>
      </c>
      <c r="C167" t="s">
        <v>27</v>
      </c>
      <c r="D167">
        <v>160</v>
      </c>
      <c r="E167">
        <v>3</v>
      </c>
      <c r="F167" t="s">
        <v>42</v>
      </c>
      <c r="G167" t="s">
        <v>46</v>
      </c>
      <c r="H167" t="s">
        <v>122</v>
      </c>
      <c r="I167" t="s">
        <v>34</v>
      </c>
      <c r="J167" t="s">
        <v>34</v>
      </c>
      <c r="K167" t="s">
        <v>34</v>
      </c>
      <c r="L167" t="s">
        <v>34</v>
      </c>
      <c r="M167" t="s">
        <v>41</v>
      </c>
      <c r="N167" t="s">
        <v>34</v>
      </c>
      <c r="O167" t="s">
        <v>34</v>
      </c>
      <c r="P167" t="s">
        <v>35</v>
      </c>
      <c r="Q167" t="s">
        <v>56</v>
      </c>
      <c r="R167" s="1" t="s">
        <v>43</v>
      </c>
    </row>
    <row r="168" spans="1:18" x14ac:dyDescent="0.3">
      <c r="A168" s="4" t="s">
        <v>25</v>
      </c>
      <c r="B168" s="4" t="s">
        <v>26</v>
      </c>
      <c r="C168" s="4" t="s">
        <v>27</v>
      </c>
      <c r="D168" s="4">
        <v>161</v>
      </c>
      <c r="E168" s="4">
        <v>2</v>
      </c>
      <c r="F168" s="4" t="s">
        <v>37</v>
      </c>
      <c r="G168" s="4" t="s">
        <v>46</v>
      </c>
      <c r="H168" s="4" t="s">
        <v>61</v>
      </c>
      <c r="I168" s="4" t="s">
        <v>34</v>
      </c>
      <c r="J168" s="4" t="s">
        <v>34</v>
      </c>
      <c r="K168" s="4" t="s">
        <v>34</v>
      </c>
      <c r="L168" s="4" t="s">
        <v>34</v>
      </c>
      <c r="M168" s="4" t="s">
        <v>41</v>
      </c>
      <c r="N168" s="4" t="s">
        <v>34</v>
      </c>
      <c r="O168" s="4" t="s">
        <v>34</v>
      </c>
      <c r="P168" s="4" t="s">
        <v>35</v>
      </c>
      <c r="Q168" s="4" t="s">
        <v>56</v>
      </c>
      <c r="R168" s="5" t="s">
        <v>43</v>
      </c>
    </row>
    <row r="169" spans="1:18" x14ac:dyDescent="0.3">
      <c r="A169" t="s">
        <v>25</v>
      </c>
      <c r="B169" t="s">
        <v>26</v>
      </c>
      <c r="C169" t="s">
        <v>27</v>
      </c>
      <c r="D169">
        <v>162</v>
      </c>
      <c r="E169">
        <v>1</v>
      </c>
      <c r="F169" t="s">
        <v>42</v>
      </c>
      <c r="G169" t="s">
        <v>46</v>
      </c>
      <c r="H169" t="s">
        <v>40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35</v>
      </c>
      <c r="Q169" t="s">
        <v>56</v>
      </c>
      <c r="R169" s="1" t="s">
        <v>43</v>
      </c>
    </row>
    <row r="170" spans="1:18" x14ac:dyDescent="0.3">
      <c r="A170" s="4" t="s">
        <v>25</v>
      </c>
      <c r="B170" s="4" t="s">
        <v>26</v>
      </c>
      <c r="C170" s="4" t="s">
        <v>27</v>
      </c>
      <c r="D170" s="4">
        <v>164</v>
      </c>
      <c r="E170" s="4">
        <v>1</v>
      </c>
      <c r="F170" s="4" t="s">
        <v>53</v>
      </c>
      <c r="G170" s="4" t="s">
        <v>46</v>
      </c>
      <c r="H170" s="4" t="s">
        <v>54</v>
      </c>
      <c r="I170" s="4" t="s">
        <v>34</v>
      </c>
      <c r="J170" s="4" t="s">
        <v>34</v>
      </c>
      <c r="K170" s="4" t="s">
        <v>34</v>
      </c>
      <c r="L170" s="4" t="s">
        <v>34</v>
      </c>
      <c r="M170" s="4" t="s">
        <v>34</v>
      </c>
      <c r="N170" s="4" t="s">
        <v>34</v>
      </c>
      <c r="O170" s="4" t="s">
        <v>34</v>
      </c>
      <c r="P170" s="4" t="s">
        <v>35</v>
      </c>
      <c r="Q170" s="4" t="s">
        <v>56</v>
      </c>
      <c r="R170" s="5" t="s">
        <v>54</v>
      </c>
    </row>
    <row r="171" spans="1:18" x14ac:dyDescent="0.3">
      <c r="A171" t="s">
        <v>25</v>
      </c>
      <c r="B171" t="s">
        <v>26</v>
      </c>
      <c r="C171" t="s">
        <v>27</v>
      </c>
      <c r="D171">
        <v>167</v>
      </c>
      <c r="E171">
        <v>4</v>
      </c>
      <c r="F171" t="s">
        <v>129</v>
      </c>
      <c r="G171" t="s">
        <v>100</v>
      </c>
      <c r="H171" t="s">
        <v>144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35</v>
      </c>
      <c r="Q171" t="s">
        <v>56</v>
      </c>
      <c r="R171" s="1" t="s">
        <v>63</v>
      </c>
    </row>
    <row r="172" spans="1:18" x14ac:dyDescent="0.3">
      <c r="A172" s="4" t="s">
        <v>25</v>
      </c>
      <c r="B172" s="4" t="s">
        <v>26</v>
      </c>
      <c r="C172" s="4" t="s">
        <v>27</v>
      </c>
      <c r="D172" s="4">
        <v>169</v>
      </c>
      <c r="E172" s="4">
        <v>1</v>
      </c>
      <c r="F172" s="4" t="s">
        <v>42</v>
      </c>
      <c r="G172" s="4" t="s">
        <v>67</v>
      </c>
      <c r="H172" s="4" t="s">
        <v>101</v>
      </c>
      <c r="I172" s="4" t="s">
        <v>34</v>
      </c>
      <c r="J172" s="4" t="s">
        <v>34</v>
      </c>
      <c r="K172" s="4" t="s">
        <v>34</v>
      </c>
      <c r="L172" s="4" t="s">
        <v>34</v>
      </c>
      <c r="M172" s="4" t="s">
        <v>41</v>
      </c>
      <c r="N172" s="4" t="s">
        <v>34</v>
      </c>
      <c r="O172" s="4" t="s">
        <v>34</v>
      </c>
      <c r="P172" s="4" t="s">
        <v>35</v>
      </c>
      <c r="Q172" s="4" t="s">
        <v>56</v>
      </c>
      <c r="R172" s="5" t="s">
        <v>104</v>
      </c>
    </row>
    <row r="173" spans="1:18" x14ac:dyDescent="0.3">
      <c r="A173" t="s">
        <v>25</v>
      </c>
      <c r="B173" t="s">
        <v>26</v>
      </c>
      <c r="C173" t="s">
        <v>27</v>
      </c>
      <c r="D173">
        <v>174</v>
      </c>
      <c r="E173">
        <v>1</v>
      </c>
      <c r="F173" t="s">
        <v>37</v>
      </c>
      <c r="G173" t="s">
        <v>67</v>
      </c>
      <c r="H173" t="s">
        <v>55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35</v>
      </c>
      <c r="Q173" t="s">
        <v>56</v>
      </c>
      <c r="R173" s="1" t="s">
        <v>43</v>
      </c>
    </row>
    <row r="174" spans="1:18" x14ac:dyDescent="0.3">
      <c r="A174" s="4" t="s">
        <v>25</v>
      </c>
      <c r="B174" s="4" t="s">
        <v>26</v>
      </c>
      <c r="C174" s="4" t="s">
        <v>27</v>
      </c>
      <c r="D174" s="4">
        <v>175</v>
      </c>
      <c r="E174" s="4">
        <v>3</v>
      </c>
      <c r="F174" s="4" t="s">
        <v>42</v>
      </c>
      <c r="G174" s="4" t="s">
        <v>67</v>
      </c>
      <c r="H174" s="4" t="s">
        <v>101</v>
      </c>
      <c r="I174" s="4" t="s">
        <v>34</v>
      </c>
      <c r="J174" s="4" t="s">
        <v>34</v>
      </c>
      <c r="K174" s="4" t="s">
        <v>34</v>
      </c>
      <c r="L174" s="4" t="s">
        <v>34</v>
      </c>
      <c r="M174" s="4" t="s">
        <v>34</v>
      </c>
      <c r="N174" s="4" t="s">
        <v>34</v>
      </c>
      <c r="O174" s="4" t="s">
        <v>34</v>
      </c>
      <c r="P174" s="4" t="s">
        <v>35</v>
      </c>
      <c r="Q174" s="4" t="s">
        <v>56</v>
      </c>
      <c r="R174" s="5" t="s">
        <v>145</v>
      </c>
    </row>
    <row r="175" spans="1:18" x14ac:dyDescent="0.3">
      <c r="A175" t="s">
        <v>25</v>
      </c>
      <c r="B175" t="s">
        <v>26</v>
      </c>
      <c r="C175" t="s">
        <v>27</v>
      </c>
      <c r="D175">
        <v>182</v>
      </c>
      <c r="E175">
        <v>3</v>
      </c>
      <c r="F175" t="s">
        <v>37</v>
      </c>
      <c r="G175" t="s">
        <v>108</v>
      </c>
      <c r="H175" t="s">
        <v>61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35</v>
      </c>
      <c r="Q175" t="s">
        <v>56</v>
      </c>
      <c r="R175" s="1" t="s">
        <v>43</v>
      </c>
    </row>
    <row r="176" spans="1:18" x14ac:dyDescent="0.3">
      <c r="A176" s="4" t="s">
        <v>25</v>
      </c>
      <c r="B176" s="4" t="s">
        <v>26</v>
      </c>
      <c r="C176" s="4" t="s">
        <v>27</v>
      </c>
      <c r="D176" s="4">
        <v>189</v>
      </c>
      <c r="E176" s="4">
        <v>2</v>
      </c>
      <c r="F176" s="4" t="s">
        <v>42</v>
      </c>
      <c r="G176" s="4" t="s">
        <v>108</v>
      </c>
      <c r="H176" s="4" t="s">
        <v>142</v>
      </c>
      <c r="I176" s="4" t="s">
        <v>34</v>
      </c>
      <c r="J176" s="4" t="s">
        <v>34</v>
      </c>
      <c r="K176" s="4" t="s">
        <v>34</v>
      </c>
      <c r="L176" s="4" t="s">
        <v>34</v>
      </c>
      <c r="M176" s="4" t="s">
        <v>34</v>
      </c>
      <c r="N176" s="4" t="s">
        <v>34</v>
      </c>
      <c r="O176" s="4" t="s">
        <v>34</v>
      </c>
      <c r="P176" s="4" t="s">
        <v>35</v>
      </c>
      <c r="Q176" s="4" t="s">
        <v>56</v>
      </c>
      <c r="R176" s="5" t="s">
        <v>104</v>
      </c>
    </row>
    <row r="177" spans="1:18" x14ac:dyDescent="0.3">
      <c r="A177" t="s">
        <v>25</v>
      </c>
      <c r="B177" t="s">
        <v>26</v>
      </c>
      <c r="C177" t="s">
        <v>27</v>
      </c>
      <c r="D177">
        <v>191</v>
      </c>
      <c r="E177">
        <v>3</v>
      </c>
      <c r="F177" t="s">
        <v>42</v>
      </c>
      <c r="G177" t="s">
        <v>46</v>
      </c>
      <c r="H177" t="s">
        <v>101</v>
      </c>
      <c r="I177" t="s">
        <v>34</v>
      </c>
      <c r="J177" t="s">
        <v>41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35</v>
      </c>
      <c r="Q177" t="s">
        <v>56</v>
      </c>
      <c r="R177" s="1" t="s">
        <v>63</v>
      </c>
    </row>
    <row r="178" spans="1:18" x14ac:dyDescent="0.3">
      <c r="A178" s="4" t="s">
        <v>25</v>
      </c>
      <c r="B178" s="4" t="s">
        <v>26</v>
      </c>
      <c r="C178" s="4" t="s">
        <v>27</v>
      </c>
      <c r="D178" s="4">
        <v>207</v>
      </c>
      <c r="E178" s="4">
        <v>3</v>
      </c>
      <c r="F178" s="4" t="s">
        <v>42</v>
      </c>
      <c r="G178" s="4" t="s">
        <v>108</v>
      </c>
      <c r="H178" s="4" t="s">
        <v>40</v>
      </c>
      <c r="I178" s="4" t="s">
        <v>34</v>
      </c>
      <c r="J178" s="4" t="s">
        <v>34</v>
      </c>
      <c r="K178" s="4" t="s">
        <v>34</v>
      </c>
      <c r="L178" s="4" t="s">
        <v>34</v>
      </c>
      <c r="M178" s="4" t="s">
        <v>34</v>
      </c>
      <c r="N178" s="4" t="s">
        <v>34</v>
      </c>
      <c r="O178" s="4" t="s">
        <v>34</v>
      </c>
      <c r="P178" s="4" t="s">
        <v>35</v>
      </c>
      <c r="Q178" s="4" t="s">
        <v>56</v>
      </c>
      <c r="R178" s="5" t="s">
        <v>48</v>
      </c>
    </row>
    <row r="179" spans="1:18" x14ac:dyDescent="0.3">
      <c r="A179" t="s">
        <v>25</v>
      </c>
      <c r="B179" t="s">
        <v>26</v>
      </c>
      <c r="C179" t="s">
        <v>27</v>
      </c>
      <c r="D179">
        <v>210</v>
      </c>
      <c r="E179">
        <v>3</v>
      </c>
      <c r="F179" t="s">
        <v>42</v>
      </c>
      <c r="G179" t="s">
        <v>67</v>
      </c>
      <c r="H179" t="s">
        <v>101</v>
      </c>
      <c r="I179" t="s">
        <v>34</v>
      </c>
      <c r="J179" t="s">
        <v>41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35</v>
      </c>
      <c r="Q179" t="s">
        <v>56</v>
      </c>
      <c r="R179" s="1" t="s">
        <v>99</v>
      </c>
    </row>
    <row r="180" spans="1:18" x14ac:dyDescent="0.3">
      <c r="A180" s="4" t="s">
        <v>25</v>
      </c>
      <c r="B180" s="4" t="s">
        <v>26</v>
      </c>
      <c r="C180" s="4" t="s">
        <v>27</v>
      </c>
      <c r="D180" s="4">
        <v>216</v>
      </c>
      <c r="E180" s="4">
        <v>3</v>
      </c>
      <c r="F180" s="4" t="s">
        <v>42</v>
      </c>
      <c r="G180" s="4" t="s">
        <v>46</v>
      </c>
      <c r="H180" s="4" t="s">
        <v>146</v>
      </c>
      <c r="I180" s="4" t="s">
        <v>34</v>
      </c>
      <c r="J180" s="4" t="s">
        <v>41</v>
      </c>
      <c r="K180" s="4" t="s">
        <v>34</v>
      </c>
      <c r="L180" s="4" t="s">
        <v>34</v>
      </c>
      <c r="M180" s="4" t="s">
        <v>41</v>
      </c>
      <c r="N180" s="4" t="s">
        <v>34</v>
      </c>
      <c r="O180" s="4" t="s">
        <v>34</v>
      </c>
      <c r="P180" s="4" t="s">
        <v>147</v>
      </c>
      <c r="Q180" s="4" t="s">
        <v>56</v>
      </c>
      <c r="R180" s="5" t="s">
        <v>148</v>
      </c>
    </row>
    <row r="181" spans="1:18" x14ac:dyDescent="0.3">
      <c r="A181" t="s">
        <v>25</v>
      </c>
      <c r="B181" t="s">
        <v>26</v>
      </c>
      <c r="C181" t="s">
        <v>27</v>
      </c>
      <c r="D181">
        <v>221</v>
      </c>
      <c r="E181">
        <v>1</v>
      </c>
      <c r="F181" t="s">
        <v>107</v>
      </c>
      <c r="G181" t="s">
        <v>149</v>
      </c>
      <c r="H181" t="s">
        <v>33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35</v>
      </c>
      <c r="Q181" t="s">
        <v>56</v>
      </c>
      <c r="R181" s="1" t="s">
        <v>150</v>
      </c>
    </row>
    <row r="182" spans="1:18" x14ac:dyDescent="0.3">
      <c r="A182" s="4" t="s">
        <v>25</v>
      </c>
      <c r="B182" s="4" t="s">
        <v>26</v>
      </c>
      <c r="C182" s="4" t="s">
        <v>27</v>
      </c>
      <c r="D182" s="4">
        <v>223</v>
      </c>
      <c r="E182" s="4">
        <v>3</v>
      </c>
      <c r="F182" s="4" t="s">
        <v>107</v>
      </c>
      <c r="G182" s="4" t="s">
        <v>149</v>
      </c>
      <c r="H182" s="4" t="s">
        <v>33</v>
      </c>
      <c r="I182" s="4" t="s">
        <v>34</v>
      </c>
      <c r="J182" s="4" t="s">
        <v>34</v>
      </c>
      <c r="K182" s="4" t="s">
        <v>34</v>
      </c>
      <c r="L182" s="4" t="s">
        <v>34</v>
      </c>
      <c r="M182" s="4" t="s">
        <v>34</v>
      </c>
      <c r="N182" s="4" t="s">
        <v>34</v>
      </c>
      <c r="O182" s="4" t="s">
        <v>34</v>
      </c>
      <c r="P182" s="4" t="s">
        <v>35</v>
      </c>
      <c r="Q182" s="4" t="s">
        <v>56</v>
      </c>
      <c r="R182" s="5" t="s">
        <v>63</v>
      </c>
    </row>
    <row r="183" spans="1:18" x14ac:dyDescent="0.3">
      <c r="A183" t="s">
        <v>25</v>
      </c>
      <c r="B183" t="s">
        <v>26</v>
      </c>
      <c r="C183" t="s">
        <v>27</v>
      </c>
      <c r="D183">
        <v>227</v>
      </c>
      <c r="E183">
        <v>3</v>
      </c>
      <c r="F183" t="s">
        <v>42</v>
      </c>
      <c r="G183" t="s">
        <v>108</v>
      </c>
      <c r="H183" t="s">
        <v>142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35</v>
      </c>
      <c r="Q183" t="s">
        <v>56</v>
      </c>
      <c r="R183" s="1" t="s">
        <v>43</v>
      </c>
    </row>
    <row r="184" spans="1:18" x14ac:dyDescent="0.3">
      <c r="A184" s="4" t="s">
        <v>25</v>
      </c>
      <c r="B184" s="4" t="s">
        <v>26</v>
      </c>
      <c r="C184" s="4" t="s">
        <v>27</v>
      </c>
      <c r="D184" s="4">
        <v>229</v>
      </c>
      <c r="E184" s="4">
        <v>3</v>
      </c>
      <c r="F184" s="4" t="s">
        <v>42</v>
      </c>
      <c r="G184" s="4" t="s">
        <v>46</v>
      </c>
      <c r="H184" s="4" t="s">
        <v>151</v>
      </c>
      <c r="I184" s="4" t="s">
        <v>34</v>
      </c>
      <c r="J184" s="4" t="s">
        <v>34</v>
      </c>
      <c r="K184" s="4" t="s">
        <v>34</v>
      </c>
      <c r="L184" s="4" t="s">
        <v>34</v>
      </c>
      <c r="M184" s="4" t="s">
        <v>34</v>
      </c>
      <c r="N184" s="4" t="s">
        <v>34</v>
      </c>
      <c r="O184" s="4" t="s">
        <v>34</v>
      </c>
      <c r="P184" s="4" t="s">
        <v>49</v>
      </c>
      <c r="Q184" s="4" t="s">
        <v>56</v>
      </c>
      <c r="R184" s="5" t="s">
        <v>43</v>
      </c>
    </row>
    <row r="185" spans="1:18" x14ac:dyDescent="0.3">
      <c r="A185" t="s">
        <v>25</v>
      </c>
      <c r="B185" t="s">
        <v>26</v>
      </c>
      <c r="C185" t="s">
        <v>27</v>
      </c>
      <c r="D185">
        <v>231</v>
      </c>
      <c r="E185">
        <v>3</v>
      </c>
      <c r="F185" t="s">
        <v>42</v>
      </c>
      <c r="G185" t="s">
        <v>67</v>
      </c>
      <c r="H185" t="s">
        <v>40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49</v>
      </c>
      <c r="Q185" t="s">
        <v>56</v>
      </c>
      <c r="R185" s="1" t="s">
        <v>133</v>
      </c>
    </row>
    <row r="186" spans="1:18" x14ac:dyDescent="0.3">
      <c r="A186" s="4" t="s">
        <v>25</v>
      </c>
      <c r="B186" s="4" t="s">
        <v>26</v>
      </c>
      <c r="C186" s="4" t="s">
        <v>27</v>
      </c>
      <c r="D186" s="4">
        <v>233</v>
      </c>
      <c r="E186" s="4">
        <v>3</v>
      </c>
      <c r="F186" s="4" t="s">
        <v>42</v>
      </c>
      <c r="G186" s="4" t="s">
        <v>46</v>
      </c>
      <c r="H186" s="4" t="s">
        <v>40</v>
      </c>
      <c r="I186" s="4" t="s">
        <v>34</v>
      </c>
      <c r="J186" s="4" t="s">
        <v>34</v>
      </c>
      <c r="K186" s="4" t="s">
        <v>34</v>
      </c>
      <c r="L186" s="4" t="s">
        <v>34</v>
      </c>
      <c r="M186" s="4" t="s">
        <v>34</v>
      </c>
      <c r="N186" s="4" t="s">
        <v>34</v>
      </c>
      <c r="O186" s="4" t="s">
        <v>34</v>
      </c>
      <c r="P186" s="4" t="s">
        <v>49</v>
      </c>
      <c r="Q186" s="4" t="s">
        <v>56</v>
      </c>
      <c r="R186" s="5" t="s">
        <v>43</v>
      </c>
    </row>
    <row r="187" spans="1:18" x14ac:dyDescent="0.3">
      <c r="A187" t="s">
        <v>25</v>
      </c>
      <c r="B187" t="s">
        <v>26</v>
      </c>
      <c r="C187" t="s">
        <v>27</v>
      </c>
      <c r="D187">
        <v>239</v>
      </c>
      <c r="E187">
        <v>1</v>
      </c>
      <c r="F187" t="s">
        <v>129</v>
      </c>
      <c r="G187" t="s">
        <v>46</v>
      </c>
      <c r="H187" t="s">
        <v>152</v>
      </c>
      <c r="I187" t="s">
        <v>34</v>
      </c>
      <c r="J187" t="s">
        <v>34</v>
      </c>
      <c r="K187" t="s">
        <v>41</v>
      </c>
      <c r="L187" t="s">
        <v>41</v>
      </c>
      <c r="M187" t="s">
        <v>34</v>
      </c>
      <c r="N187" t="s">
        <v>34</v>
      </c>
      <c r="O187" t="s">
        <v>34</v>
      </c>
      <c r="P187" t="s">
        <v>49</v>
      </c>
      <c r="Q187" t="s">
        <v>56</v>
      </c>
      <c r="R187" s="1" t="s">
        <v>124</v>
      </c>
    </row>
    <row r="188" spans="1:18" x14ac:dyDescent="0.3">
      <c r="A188" s="4" t="s">
        <v>29</v>
      </c>
      <c r="B188" s="4" t="s">
        <v>23</v>
      </c>
      <c r="C188" s="4" t="s">
        <v>30</v>
      </c>
      <c r="D188" s="4">
        <v>6</v>
      </c>
      <c r="E188" s="4">
        <v>2</v>
      </c>
      <c r="F188" s="4" t="s">
        <v>37</v>
      </c>
      <c r="G188" s="4" t="s">
        <v>46</v>
      </c>
      <c r="H188" s="4" t="s">
        <v>33</v>
      </c>
      <c r="I188" s="4" t="s">
        <v>34</v>
      </c>
      <c r="J188" s="4" t="s">
        <v>34</v>
      </c>
      <c r="K188" s="4" t="s">
        <v>34</v>
      </c>
      <c r="L188" s="4" t="s">
        <v>34</v>
      </c>
      <c r="M188" s="4" t="s">
        <v>34</v>
      </c>
      <c r="N188" s="4" t="s">
        <v>34</v>
      </c>
      <c r="O188" s="4" t="s">
        <v>34</v>
      </c>
      <c r="P188" s="4" t="s">
        <v>35</v>
      </c>
      <c r="Q188" s="4" t="s">
        <v>36</v>
      </c>
      <c r="R188" s="5" t="s">
        <v>43</v>
      </c>
    </row>
    <row r="189" spans="1:18" x14ac:dyDescent="0.3">
      <c r="A189" t="s">
        <v>29</v>
      </c>
      <c r="B189" t="s">
        <v>23</v>
      </c>
      <c r="C189" t="s">
        <v>30</v>
      </c>
      <c r="D189">
        <v>11</v>
      </c>
      <c r="E189">
        <v>3</v>
      </c>
      <c r="F189" t="s">
        <v>42</v>
      </c>
      <c r="G189" t="s">
        <v>46</v>
      </c>
      <c r="H189" t="s">
        <v>142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35</v>
      </c>
      <c r="Q189" t="s">
        <v>36</v>
      </c>
      <c r="R189" s="1" t="s">
        <v>145</v>
      </c>
    </row>
    <row r="190" spans="1:18" x14ac:dyDescent="0.3">
      <c r="A190" s="4" t="s">
        <v>29</v>
      </c>
      <c r="B190" s="4" t="s">
        <v>23</v>
      </c>
      <c r="C190" s="4" t="s">
        <v>30</v>
      </c>
      <c r="D190" s="4">
        <v>17</v>
      </c>
      <c r="E190" s="4">
        <v>2</v>
      </c>
      <c r="F190" s="4" t="s">
        <v>37</v>
      </c>
      <c r="G190" s="4" t="s">
        <v>46</v>
      </c>
      <c r="H190" s="4" t="s">
        <v>33</v>
      </c>
      <c r="I190" s="4" t="s">
        <v>41</v>
      </c>
      <c r="J190" s="4" t="s">
        <v>41</v>
      </c>
      <c r="K190" s="4" t="s">
        <v>34</v>
      </c>
      <c r="L190" s="4" t="s">
        <v>34</v>
      </c>
      <c r="M190" s="4" t="s">
        <v>34</v>
      </c>
      <c r="N190" s="4" t="s">
        <v>34</v>
      </c>
      <c r="O190" s="4" t="s">
        <v>34</v>
      </c>
      <c r="P190" s="4" t="s">
        <v>35</v>
      </c>
      <c r="Q190" s="4" t="s">
        <v>36</v>
      </c>
      <c r="R190" s="5" t="s">
        <v>38</v>
      </c>
    </row>
    <row r="191" spans="1:18" x14ac:dyDescent="0.3">
      <c r="A191" t="s">
        <v>29</v>
      </c>
      <c r="B191" t="s">
        <v>23</v>
      </c>
      <c r="C191" t="s">
        <v>30</v>
      </c>
      <c r="D191">
        <v>25</v>
      </c>
      <c r="E191">
        <v>1</v>
      </c>
      <c r="F191" t="s">
        <v>42</v>
      </c>
      <c r="G191" t="s">
        <v>67</v>
      </c>
      <c r="H191" t="s">
        <v>40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49</v>
      </c>
      <c r="Q191" t="s">
        <v>36</v>
      </c>
      <c r="R191" s="1" t="s">
        <v>47</v>
      </c>
    </row>
    <row r="192" spans="1:18" x14ac:dyDescent="0.3">
      <c r="A192" s="4" t="s">
        <v>29</v>
      </c>
      <c r="B192" s="4" t="s">
        <v>23</v>
      </c>
      <c r="C192" s="4" t="s">
        <v>30</v>
      </c>
      <c r="D192" s="4">
        <v>29</v>
      </c>
      <c r="E192" s="4">
        <v>2</v>
      </c>
      <c r="F192" s="4" t="s">
        <v>42</v>
      </c>
      <c r="G192" s="4" t="s">
        <v>46</v>
      </c>
      <c r="H192" s="4" t="s">
        <v>151</v>
      </c>
      <c r="I192" s="4" t="s">
        <v>34</v>
      </c>
      <c r="J192" s="4" t="s">
        <v>34</v>
      </c>
      <c r="K192" s="4" t="s">
        <v>34</v>
      </c>
      <c r="L192" s="4" t="s">
        <v>34</v>
      </c>
      <c r="M192" s="4" t="s">
        <v>34</v>
      </c>
      <c r="N192" s="4" t="s">
        <v>34</v>
      </c>
      <c r="O192" s="4" t="s">
        <v>34</v>
      </c>
      <c r="P192" s="4" t="s">
        <v>49</v>
      </c>
      <c r="Q192" s="4" t="s">
        <v>36</v>
      </c>
      <c r="R192" s="5" t="s">
        <v>126</v>
      </c>
    </row>
    <row r="193" spans="1:18" x14ac:dyDescent="0.3">
      <c r="A193" t="s">
        <v>29</v>
      </c>
      <c r="B193" t="s">
        <v>23</v>
      </c>
      <c r="C193" t="s">
        <v>30</v>
      </c>
      <c r="D193">
        <v>44</v>
      </c>
      <c r="E193">
        <v>2</v>
      </c>
      <c r="F193" t="s">
        <v>42</v>
      </c>
      <c r="G193" t="s">
        <v>46</v>
      </c>
      <c r="H193" t="s">
        <v>138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35</v>
      </c>
      <c r="Q193" t="s">
        <v>36</v>
      </c>
      <c r="R193" s="1" t="s">
        <v>43</v>
      </c>
    </row>
    <row r="194" spans="1:18" x14ac:dyDescent="0.3">
      <c r="A194" s="4" t="s">
        <v>29</v>
      </c>
      <c r="B194" s="4" t="s">
        <v>23</v>
      </c>
      <c r="C194" s="4" t="s">
        <v>30</v>
      </c>
      <c r="D194" s="4">
        <v>52</v>
      </c>
      <c r="E194" s="4">
        <v>1</v>
      </c>
      <c r="F194" s="4" t="s">
        <v>153</v>
      </c>
      <c r="G194" s="4" t="s">
        <v>32</v>
      </c>
      <c r="H194" s="4" t="s">
        <v>82</v>
      </c>
      <c r="I194" s="4" t="s">
        <v>34</v>
      </c>
      <c r="J194" s="4" t="s">
        <v>34</v>
      </c>
      <c r="K194" s="4" t="s">
        <v>41</v>
      </c>
      <c r="L194" s="4" t="s">
        <v>41</v>
      </c>
      <c r="M194" s="4" t="s">
        <v>34</v>
      </c>
      <c r="N194" s="4" t="s">
        <v>34</v>
      </c>
      <c r="O194" s="4" t="s">
        <v>34</v>
      </c>
      <c r="P194" s="4" t="s">
        <v>35</v>
      </c>
      <c r="Q194" s="4" t="s">
        <v>36</v>
      </c>
      <c r="R194" s="5" t="s">
        <v>153</v>
      </c>
    </row>
    <row r="195" spans="1:18" x14ac:dyDescent="0.3">
      <c r="A195" t="s">
        <v>29</v>
      </c>
      <c r="B195" t="s">
        <v>23</v>
      </c>
      <c r="C195" t="s">
        <v>30</v>
      </c>
      <c r="D195">
        <v>55</v>
      </c>
      <c r="E195">
        <v>1</v>
      </c>
      <c r="F195" t="s">
        <v>42</v>
      </c>
      <c r="G195" t="s">
        <v>100</v>
      </c>
      <c r="H195" t="s">
        <v>142</v>
      </c>
      <c r="I195" t="s">
        <v>34</v>
      </c>
      <c r="J195" t="s">
        <v>34</v>
      </c>
      <c r="K195" t="s">
        <v>41</v>
      </c>
      <c r="L195" t="s">
        <v>34</v>
      </c>
      <c r="M195" t="s">
        <v>34</v>
      </c>
      <c r="N195" t="s">
        <v>34</v>
      </c>
      <c r="O195" t="s">
        <v>34</v>
      </c>
      <c r="P195" t="s">
        <v>49</v>
      </c>
      <c r="Q195" t="s">
        <v>36</v>
      </c>
      <c r="R195" t="s">
        <v>43</v>
      </c>
    </row>
    <row r="196" spans="1:18" x14ac:dyDescent="0.3">
      <c r="A196" s="4" t="s">
        <v>29</v>
      </c>
      <c r="B196" s="4" t="s">
        <v>23</v>
      </c>
      <c r="C196" s="4" t="s">
        <v>30</v>
      </c>
      <c r="D196" s="4">
        <v>58</v>
      </c>
      <c r="E196" s="4">
        <v>2</v>
      </c>
      <c r="F196" s="4" t="s">
        <v>37</v>
      </c>
      <c r="G196" s="4" t="s">
        <v>46</v>
      </c>
      <c r="H196" s="4" t="s">
        <v>33</v>
      </c>
      <c r="I196" s="4" t="s">
        <v>34</v>
      </c>
      <c r="J196" s="4" t="s">
        <v>34</v>
      </c>
      <c r="K196" s="4" t="s">
        <v>34</v>
      </c>
      <c r="L196" s="4" t="s">
        <v>34</v>
      </c>
      <c r="M196" s="4" t="s">
        <v>34</v>
      </c>
      <c r="N196" s="4" t="s">
        <v>34</v>
      </c>
      <c r="O196" s="4" t="s">
        <v>34</v>
      </c>
      <c r="P196" s="4" t="s">
        <v>35</v>
      </c>
      <c r="Q196" s="4" t="s">
        <v>36</v>
      </c>
      <c r="R196" s="5" t="s">
        <v>43</v>
      </c>
    </row>
    <row r="197" spans="1:18" x14ac:dyDescent="0.3">
      <c r="A197" t="s">
        <v>29</v>
      </c>
      <c r="B197" t="s">
        <v>23</v>
      </c>
      <c r="C197" t="s">
        <v>30</v>
      </c>
      <c r="D197">
        <v>62</v>
      </c>
      <c r="E197">
        <v>2</v>
      </c>
      <c r="F197" t="s">
        <v>58</v>
      </c>
      <c r="G197" t="s">
        <v>46</v>
      </c>
      <c r="H197" t="s">
        <v>123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41</v>
      </c>
      <c r="O197" t="s">
        <v>34</v>
      </c>
      <c r="P197" t="s">
        <v>35</v>
      </c>
      <c r="Q197" t="s">
        <v>36</v>
      </c>
      <c r="R197" s="1" t="s">
        <v>54</v>
      </c>
    </row>
    <row r="198" spans="1:18" x14ac:dyDescent="0.3">
      <c r="A198" s="4" t="s">
        <v>29</v>
      </c>
      <c r="B198" s="4" t="s">
        <v>23</v>
      </c>
      <c r="C198" s="4" t="s">
        <v>30</v>
      </c>
      <c r="D198" s="4">
        <v>64</v>
      </c>
      <c r="E198" s="4">
        <v>1</v>
      </c>
      <c r="F198" s="4" t="s">
        <v>37</v>
      </c>
      <c r="G198" s="4" t="s">
        <v>46</v>
      </c>
      <c r="H198" s="4" t="s">
        <v>33</v>
      </c>
      <c r="I198" s="4" t="s">
        <v>34</v>
      </c>
      <c r="J198" s="4" t="s">
        <v>41</v>
      </c>
      <c r="K198" s="4" t="s">
        <v>34</v>
      </c>
      <c r="L198" s="4" t="s">
        <v>34</v>
      </c>
      <c r="M198" s="4" t="s">
        <v>34</v>
      </c>
      <c r="N198" s="4" t="s">
        <v>34</v>
      </c>
      <c r="O198" s="4" t="s">
        <v>34</v>
      </c>
      <c r="P198" s="4" t="s">
        <v>35</v>
      </c>
      <c r="Q198" s="4" t="s">
        <v>36</v>
      </c>
      <c r="R198" s="5" t="s">
        <v>154</v>
      </c>
    </row>
    <row r="199" spans="1:18" x14ac:dyDescent="0.3">
      <c r="A199" t="s">
        <v>29</v>
      </c>
      <c r="B199" t="s">
        <v>23</v>
      </c>
      <c r="C199" t="s">
        <v>30</v>
      </c>
      <c r="D199">
        <v>80</v>
      </c>
      <c r="E199">
        <v>1</v>
      </c>
      <c r="F199" t="s">
        <v>153</v>
      </c>
      <c r="G199" t="s">
        <v>32</v>
      </c>
      <c r="H199" t="s">
        <v>153</v>
      </c>
      <c r="I199" t="s">
        <v>34</v>
      </c>
      <c r="J199" t="s">
        <v>41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49</v>
      </c>
      <c r="Q199" t="s">
        <v>36</v>
      </c>
      <c r="R199" s="1" t="s">
        <v>153</v>
      </c>
    </row>
    <row r="200" spans="1:18" x14ac:dyDescent="0.3">
      <c r="A200" s="4" t="s">
        <v>29</v>
      </c>
      <c r="B200" s="4" t="s">
        <v>23</v>
      </c>
      <c r="C200" s="4" t="s">
        <v>30</v>
      </c>
      <c r="D200" s="4">
        <v>85</v>
      </c>
      <c r="E200" s="4">
        <v>3</v>
      </c>
      <c r="F200" s="4" t="s">
        <v>58</v>
      </c>
      <c r="G200" s="4" t="s">
        <v>46</v>
      </c>
      <c r="H200" s="4" t="s">
        <v>106</v>
      </c>
      <c r="I200" s="4" t="s">
        <v>34</v>
      </c>
      <c r="J200" s="4" t="s">
        <v>34</v>
      </c>
      <c r="K200" s="4" t="s">
        <v>34</v>
      </c>
      <c r="L200" s="4" t="s">
        <v>34</v>
      </c>
      <c r="M200" s="4" t="s">
        <v>34</v>
      </c>
      <c r="N200" s="4" t="s">
        <v>34</v>
      </c>
      <c r="O200" s="4" t="s">
        <v>34</v>
      </c>
      <c r="P200" s="4" t="s">
        <v>35</v>
      </c>
      <c r="Q200" s="4" t="s">
        <v>56</v>
      </c>
      <c r="R200" s="5" t="s">
        <v>104</v>
      </c>
    </row>
    <row r="201" spans="1:18" x14ac:dyDescent="0.3">
      <c r="A201" t="s">
        <v>29</v>
      </c>
      <c r="B201" t="s">
        <v>23</v>
      </c>
      <c r="C201" t="s">
        <v>30</v>
      </c>
      <c r="D201">
        <v>91</v>
      </c>
      <c r="E201">
        <v>1</v>
      </c>
      <c r="F201" t="s">
        <v>37</v>
      </c>
      <c r="G201" t="s">
        <v>149</v>
      </c>
      <c r="H201" t="s">
        <v>33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35</v>
      </c>
      <c r="Q201" t="s">
        <v>56</v>
      </c>
      <c r="R201" s="1" t="s">
        <v>170</v>
      </c>
    </row>
    <row r="202" spans="1:18" x14ac:dyDescent="0.3">
      <c r="A202" s="4" t="s">
        <v>29</v>
      </c>
      <c r="B202" s="4" t="s">
        <v>23</v>
      </c>
      <c r="C202" s="4" t="s">
        <v>30</v>
      </c>
      <c r="D202" s="4">
        <v>92</v>
      </c>
      <c r="E202" s="4">
        <v>1</v>
      </c>
      <c r="F202" s="4" t="s">
        <v>129</v>
      </c>
      <c r="G202" s="4" t="s">
        <v>67</v>
      </c>
      <c r="H202" s="4" t="s">
        <v>155</v>
      </c>
      <c r="I202" s="4" t="s">
        <v>34</v>
      </c>
      <c r="J202" s="4" t="s">
        <v>34</v>
      </c>
      <c r="K202" s="4" t="s">
        <v>34</v>
      </c>
      <c r="L202" s="4" t="s">
        <v>34</v>
      </c>
      <c r="M202" s="4" t="s">
        <v>34</v>
      </c>
      <c r="N202" s="4" t="s">
        <v>34</v>
      </c>
      <c r="O202" s="4" t="s">
        <v>34</v>
      </c>
      <c r="P202" s="4" t="s">
        <v>35</v>
      </c>
      <c r="Q202" s="4" t="s">
        <v>36</v>
      </c>
      <c r="R202" s="5" t="s">
        <v>43</v>
      </c>
    </row>
    <row r="203" spans="1:18" x14ac:dyDescent="0.3">
      <c r="A203" t="s">
        <v>29</v>
      </c>
      <c r="B203" t="s">
        <v>23</v>
      </c>
      <c r="C203" t="s">
        <v>30</v>
      </c>
      <c r="D203">
        <v>98</v>
      </c>
      <c r="E203">
        <v>1</v>
      </c>
      <c r="F203" t="s">
        <v>53</v>
      </c>
      <c r="G203" t="s">
        <v>32</v>
      </c>
      <c r="H203" t="s">
        <v>153</v>
      </c>
      <c r="I203" t="s">
        <v>34</v>
      </c>
      <c r="J203" t="s">
        <v>41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35</v>
      </c>
      <c r="Q203" t="s">
        <v>56</v>
      </c>
      <c r="R203" s="1" t="s">
        <v>153</v>
      </c>
    </row>
    <row r="204" spans="1:18" x14ac:dyDescent="0.3">
      <c r="A204" s="4" t="s">
        <v>29</v>
      </c>
      <c r="B204" s="4" t="s">
        <v>23</v>
      </c>
      <c r="C204" s="4" t="s">
        <v>30</v>
      </c>
      <c r="D204" s="4">
        <v>106</v>
      </c>
      <c r="E204" s="4">
        <v>1</v>
      </c>
      <c r="F204" s="4" t="s">
        <v>129</v>
      </c>
      <c r="G204" s="4" t="s">
        <v>46</v>
      </c>
      <c r="H204" s="4" t="s">
        <v>155</v>
      </c>
      <c r="I204" s="4" t="s">
        <v>34</v>
      </c>
      <c r="J204" s="4" t="s">
        <v>34</v>
      </c>
      <c r="K204" s="4" t="s">
        <v>34</v>
      </c>
      <c r="L204" s="4" t="s">
        <v>34</v>
      </c>
      <c r="M204" s="4" t="s">
        <v>34</v>
      </c>
      <c r="N204" s="4" t="s">
        <v>34</v>
      </c>
      <c r="O204" s="4" t="s">
        <v>34</v>
      </c>
      <c r="P204" s="4" t="s">
        <v>35</v>
      </c>
      <c r="Q204" s="4" t="s">
        <v>56</v>
      </c>
      <c r="R204" s="5" t="s">
        <v>43</v>
      </c>
    </row>
    <row r="205" spans="1:18" x14ac:dyDescent="0.3">
      <c r="A205" t="s">
        <v>29</v>
      </c>
      <c r="B205" t="s">
        <v>23</v>
      </c>
      <c r="C205" t="s">
        <v>30</v>
      </c>
      <c r="D205">
        <v>112</v>
      </c>
      <c r="E205">
        <v>1</v>
      </c>
      <c r="F205" t="s">
        <v>37</v>
      </c>
      <c r="G205" t="s">
        <v>46</v>
      </c>
      <c r="H205" t="s">
        <v>33</v>
      </c>
      <c r="I205" t="s">
        <v>34</v>
      </c>
      <c r="J205" t="s">
        <v>34</v>
      </c>
      <c r="K205" t="s">
        <v>41</v>
      </c>
      <c r="L205" t="s">
        <v>34</v>
      </c>
      <c r="M205" t="s">
        <v>34</v>
      </c>
      <c r="N205" t="s">
        <v>34</v>
      </c>
      <c r="O205" t="s">
        <v>34</v>
      </c>
      <c r="P205" t="s">
        <v>35</v>
      </c>
      <c r="Q205" t="s">
        <v>56</v>
      </c>
      <c r="R205" s="1" t="s">
        <v>133</v>
      </c>
    </row>
    <row r="206" spans="1:18" x14ac:dyDescent="0.3">
      <c r="A206" s="4" t="s">
        <v>29</v>
      </c>
      <c r="B206" s="4" t="s">
        <v>23</v>
      </c>
      <c r="C206" s="4" t="s">
        <v>30</v>
      </c>
      <c r="D206" s="4">
        <v>117</v>
      </c>
      <c r="E206" s="4">
        <v>1</v>
      </c>
      <c r="F206" s="4" t="s">
        <v>153</v>
      </c>
      <c r="G206" s="4" t="s">
        <v>67</v>
      </c>
      <c r="H206" s="4" t="s">
        <v>153</v>
      </c>
      <c r="I206" s="4" t="s">
        <v>34</v>
      </c>
      <c r="J206" s="4" t="s">
        <v>34</v>
      </c>
      <c r="K206" s="4" t="s">
        <v>41</v>
      </c>
      <c r="L206" s="4" t="s">
        <v>34</v>
      </c>
      <c r="M206" s="4" t="s">
        <v>34</v>
      </c>
      <c r="N206" s="4" t="s">
        <v>34</v>
      </c>
      <c r="O206" s="4" t="s">
        <v>41</v>
      </c>
      <c r="P206" s="4" t="s">
        <v>49</v>
      </c>
      <c r="Q206" s="4" t="s">
        <v>56</v>
      </c>
      <c r="R206" s="5" t="s">
        <v>153</v>
      </c>
    </row>
    <row r="207" spans="1:18" x14ac:dyDescent="0.3">
      <c r="A207" t="s">
        <v>29</v>
      </c>
      <c r="B207" t="s">
        <v>23</v>
      </c>
      <c r="C207" t="s">
        <v>30</v>
      </c>
      <c r="D207">
        <v>128</v>
      </c>
      <c r="E207">
        <v>1</v>
      </c>
      <c r="F207" t="s">
        <v>37</v>
      </c>
      <c r="G207" t="s">
        <v>46</v>
      </c>
      <c r="H207" t="s">
        <v>33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35</v>
      </c>
      <c r="Q207" t="s">
        <v>56</v>
      </c>
      <c r="R207" s="1" t="s">
        <v>38</v>
      </c>
    </row>
    <row r="208" spans="1:18" x14ac:dyDescent="0.3">
      <c r="A208" s="4" t="s">
        <v>29</v>
      </c>
      <c r="B208" s="4" t="s">
        <v>23</v>
      </c>
      <c r="C208" s="4" t="s">
        <v>30</v>
      </c>
      <c r="D208" s="4">
        <v>138</v>
      </c>
      <c r="E208" s="4">
        <v>1</v>
      </c>
      <c r="F208" s="4" t="s">
        <v>37</v>
      </c>
      <c r="G208" s="4" t="s">
        <v>46</v>
      </c>
      <c r="H208" s="4" t="s">
        <v>33</v>
      </c>
      <c r="I208" s="4" t="s">
        <v>34</v>
      </c>
      <c r="J208" s="4" t="s">
        <v>34</v>
      </c>
      <c r="K208" s="4" t="s">
        <v>41</v>
      </c>
      <c r="L208" s="4" t="s">
        <v>34</v>
      </c>
      <c r="M208" s="4" t="s">
        <v>34</v>
      </c>
      <c r="N208" s="4" t="s">
        <v>34</v>
      </c>
      <c r="O208" s="4" t="s">
        <v>34</v>
      </c>
      <c r="P208" s="4" t="s">
        <v>35</v>
      </c>
      <c r="Q208" s="4" t="s">
        <v>56</v>
      </c>
      <c r="R208" s="5" t="s">
        <v>38</v>
      </c>
    </row>
    <row r="209" spans="1:18" x14ac:dyDescent="0.3">
      <c r="A209" t="s">
        <v>29</v>
      </c>
      <c r="B209" t="s">
        <v>23</v>
      </c>
      <c r="C209" t="s">
        <v>30</v>
      </c>
      <c r="D209">
        <v>157</v>
      </c>
      <c r="E209">
        <v>1</v>
      </c>
      <c r="F209" t="s">
        <v>37</v>
      </c>
      <c r="G209" t="s">
        <v>46</v>
      </c>
      <c r="H209" t="s">
        <v>33</v>
      </c>
      <c r="I209" t="s">
        <v>34</v>
      </c>
      <c r="J209" t="s">
        <v>34</v>
      </c>
      <c r="K209" t="s">
        <v>41</v>
      </c>
      <c r="L209" t="s">
        <v>34</v>
      </c>
      <c r="M209" t="s">
        <v>34</v>
      </c>
      <c r="N209" t="s">
        <v>34</v>
      </c>
      <c r="O209" t="s">
        <v>34</v>
      </c>
      <c r="P209" t="s">
        <v>35</v>
      </c>
      <c r="Q209" t="s">
        <v>56</v>
      </c>
      <c r="R209" s="1" t="s">
        <v>104</v>
      </c>
    </row>
    <row r="210" spans="1:18" x14ac:dyDescent="0.3">
      <c r="A210" s="4" t="s">
        <v>29</v>
      </c>
      <c r="B210" s="4" t="s">
        <v>23</v>
      </c>
      <c r="C210" s="4" t="s">
        <v>30</v>
      </c>
      <c r="D210" s="4">
        <v>166</v>
      </c>
      <c r="E210" s="4">
        <v>3</v>
      </c>
      <c r="F210" s="4" t="s">
        <v>37</v>
      </c>
      <c r="G210" s="4" t="s">
        <v>32</v>
      </c>
      <c r="H210" s="4" t="s">
        <v>33</v>
      </c>
      <c r="I210" s="4" t="s">
        <v>34</v>
      </c>
      <c r="J210" s="4" t="s">
        <v>34</v>
      </c>
      <c r="K210" s="4" t="s">
        <v>34</v>
      </c>
      <c r="L210" s="4" t="s">
        <v>34</v>
      </c>
      <c r="M210" s="4" t="s">
        <v>34</v>
      </c>
      <c r="N210" s="4" t="s">
        <v>34</v>
      </c>
      <c r="O210" s="4" t="s">
        <v>34</v>
      </c>
      <c r="P210" s="4" t="s">
        <v>49</v>
      </c>
      <c r="Q210" s="4" t="s">
        <v>56</v>
      </c>
      <c r="R210" s="5" t="s">
        <v>91</v>
      </c>
    </row>
    <row r="211" spans="1:18" x14ac:dyDescent="0.3">
      <c r="A211" t="s">
        <v>29</v>
      </c>
      <c r="B211" t="s">
        <v>23</v>
      </c>
      <c r="C211" t="s">
        <v>30</v>
      </c>
      <c r="D211">
        <v>168</v>
      </c>
      <c r="E211">
        <v>3</v>
      </c>
      <c r="F211" t="s">
        <v>37</v>
      </c>
      <c r="G211" t="s">
        <v>67</v>
      </c>
      <c r="H211" t="s">
        <v>33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49</v>
      </c>
      <c r="Q211" t="s">
        <v>56</v>
      </c>
      <c r="R211" s="1" t="s">
        <v>38</v>
      </c>
    </row>
    <row r="212" spans="1:18" x14ac:dyDescent="0.3">
      <c r="A212" s="4" t="s">
        <v>29</v>
      </c>
      <c r="B212" s="4" t="s">
        <v>23</v>
      </c>
      <c r="C212" s="4" t="s">
        <v>30</v>
      </c>
      <c r="D212" s="4">
        <v>172</v>
      </c>
      <c r="E212" s="4">
        <v>1</v>
      </c>
      <c r="F212" s="4" t="s">
        <v>153</v>
      </c>
      <c r="G212" s="4" t="s">
        <v>100</v>
      </c>
      <c r="H212" s="4" t="s">
        <v>153</v>
      </c>
      <c r="I212" s="4" t="s">
        <v>34</v>
      </c>
      <c r="J212" s="4" t="s">
        <v>34</v>
      </c>
      <c r="K212" s="4" t="s">
        <v>41</v>
      </c>
      <c r="L212" s="4" t="s">
        <v>41</v>
      </c>
      <c r="M212" s="4" t="s">
        <v>34</v>
      </c>
      <c r="N212" s="4" t="s">
        <v>34</v>
      </c>
      <c r="O212" s="4" t="s">
        <v>34</v>
      </c>
      <c r="P212" s="4" t="s">
        <v>49</v>
      </c>
      <c r="Q212" s="4" t="s">
        <v>56</v>
      </c>
      <c r="R212" s="5" t="s">
        <v>153</v>
      </c>
    </row>
    <row r="213" spans="1:18" x14ac:dyDescent="0.3">
      <c r="A213" t="s">
        <v>29</v>
      </c>
      <c r="B213" t="s">
        <v>23</v>
      </c>
      <c r="C213" t="s">
        <v>30</v>
      </c>
      <c r="D213">
        <v>188</v>
      </c>
      <c r="E213">
        <v>1</v>
      </c>
      <c r="F213" t="s">
        <v>37</v>
      </c>
      <c r="G213" t="s">
        <v>67</v>
      </c>
      <c r="H213" t="s">
        <v>156</v>
      </c>
      <c r="I213" t="s">
        <v>34</v>
      </c>
      <c r="J213" t="s">
        <v>34</v>
      </c>
      <c r="K213" t="s">
        <v>41</v>
      </c>
      <c r="L213" t="s">
        <v>41</v>
      </c>
      <c r="M213" t="s">
        <v>34</v>
      </c>
      <c r="N213" t="s">
        <v>41</v>
      </c>
      <c r="O213" t="s">
        <v>34</v>
      </c>
      <c r="P213" t="s">
        <v>35</v>
      </c>
      <c r="Q213" t="s">
        <v>36</v>
      </c>
      <c r="R213" s="1" t="s">
        <v>157</v>
      </c>
    </row>
    <row r="214" spans="1:18" x14ac:dyDescent="0.3">
      <c r="A214" s="4" t="s">
        <v>29</v>
      </c>
      <c r="B214" s="4" t="s">
        <v>23</v>
      </c>
      <c r="C214" s="4" t="s">
        <v>30</v>
      </c>
      <c r="D214" s="4">
        <v>196</v>
      </c>
      <c r="E214" s="4">
        <v>1</v>
      </c>
      <c r="F214" s="4" t="s">
        <v>37</v>
      </c>
      <c r="G214" s="4" t="s">
        <v>67</v>
      </c>
      <c r="H214" s="4" t="s">
        <v>33</v>
      </c>
      <c r="I214" s="4" t="s">
        <v>34</v>
      </c>
      <c r="J214" s="4" t="s">
        <v>34</v>
      </c>
      <c r="K214" s="4" t="s">
        <v>34</v>
      </c>
      <c r="L214" s="4" t="s">
        <v>34</v>
      </c>
      <c r="M214" s="4" t="s">
        <v>34</v>
      </c>
      <c r="N214" s="4" t="s">
        <v>34</v>
      </c>
      <c r="O214" s="4" t="s">
        <v>34</v>
      </c>
      <c r="P214" s="4" t="s">
        <v>35</v>
      </c>
      <c r="Q214" s="4" t="s">
        <v>36</v>
      </c>
      <c r="R214" s="5" t="s">
        <v>157</v>
      </c>
    </row>
    <row r="215" spans="1:18" x14ac:dyDescent="0.3">
      <c r="A215" t="s">
        <v>29</v>
      </c>
      <c r="B215" t="s">
        <v>23</v>
      </c>
      <c r="C215" t="s">
        <v>30</v>
      </c>
      <c r="D215">
        <v>204</v>
      </c>
      <c r="E215">
        <v>1</v>
      </c>
      <c r="F215" t="s">
        <v>53</v>
      </c>
      <c r="G215" t="s">
        <v>32</v>
      </c>
      <c r="H215" t="s">
        <v>54</v>
      </c>
      <c r="I215" t="s">
        <v>34</v>
      </c>
      <c r="J215" t="s">
        <v>41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35</v>
      </c>
      <c r="Q215" t="s">
        <v>36</v>
      </c>
      <c r="R215" s="1" t="s">
        <v>153</v>
      </c>
    </row>
    <row r="216" spans="1:18" x14ac:dyDescent="0.3">
      <c r="A216" s="4" t="s">
        <v>29</v>
      </c>
      <c r="B216" s="4" t="s">
        <v>23</v>
      </c>
      <c r="C216" s="4" t="s">
        <v>30</v>
      </c>
      <c r="D216" s="4">
        <v>216</v>
      </c>
      <c r="E216" s="4">
        <v>1</v>
      </c>
      <c r="F216" s="4" t="s">
        <v>153</v>
      </c>
      <c r="G216" s="4" t="s">
        <v>100</v>
      </c>
      <c r="H216" s="4" t="s">
        <v>153</v>
      </c>
      <c r="I216" s="4" t="s">
        <v>34</v>
      </c>
      <c r="J216" s="4" t="s">
        <v>34</v>
      </c>
      <c r="K216" s="4" t="s">
        <v>41</v>
      </c>
      <c r="L216" s="4" t="s">
        <v>41</v>
      </c>
      <c r="M216" s="4" t="s">
        <v>34</v>
      </c>
      <c r="N216" s="4" t="s">
        <v>34</v>
      </c>
      <c r="O216" s="4" t="s">
        <v>34</v>
      </c>
      <c r="P216" s="4" t="s">
        <v>35</v>
      </c>
      <c r="Q216" s="4" t="s">
        <v>36</v>
      </c>
      <c r="R216" s="5" t="s">
        <v>153</v>
      </c>
    </row>
    <row r="217" spans="1:18" x14ac:dyDescent="0.3">
      <c r="A217" t="s">
        <v>29</v>
      </c>
      <c r="B217" t="s">
        <v>23</v>
      </c>
      <c r="C217" t="s">
        <v>30</v>
      </c>
      <c r="D217">
        <v>220</v>
      </c>
      <c r="E217">
        <v>2</v>
      </c>
      <c r="F217" t="s">
        <v>37</v>
      </c>
      <c r="G217" t="s">
        <v>46</v>
      </c>
      <c r="H217" t="s">
        <v>33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49</v>
      </c>
      <c r="Q217" t="s">
        <v>36</v>
      </c>
      <c r="R217" s="1" t="s">
        <v>124</v>
      </c>
    </row>
    <row r="218" spans="1:18" x14ac:dyDescent="0.3">
      <c r="A218" s="4" t="s">
        <v>29</v>
      </c>
      <c r="B218" s="4" t="s">
        <v>23</v>
      </c>
      <c r="C218" s="4" t="s">
        <v>30</v>
      </c>
      <c r="D218" s="4">
        <v>223</v>
      </c>
      <c r="E218" s="4">
        <v>1</v>
      </c>
      <c r="F218" s="4" t="s">
        <v>42</v>
      </c>
      <c r="G218" s="4" t="s">
        <v>67</v>
      </c>
      <c r="H218" s="4" t="s">
        <v>138</v>
      </c>
      <c r="I218" s="4" t="s">
        <v>34</v>
      </c>
      <c r="J218" s="4" t="s">
        <v>34</v>
      </c>
      <c r="K218" s="4" t="s">
        <v>34</v>
      </c>
      <c r="L218" s="4" t="s">
        <v>34</v>
      </c>
      <c r="M218" s="4" t="s">
        <v>34</v>
      </c>
      <c r="N218" s="4" t="s">
        <v>34</v>
      </c>
      <c r="O218" s="4" t="s">
        <v>34</v>
      </c>
      <c r="P218" s="4" t="s">
        <v>49</v>
      </c>
      <c r="Q218" s="4" t="s">
        <v>36</v>
      </c>
      <c r="R218" s="5" t="s">
        <v>133</v>
      </c>
    </row>
    <row r="219" spans="1:18" x14ac:dyDescent="0.3">
      <c r="A219" t="s">
        <v>29</v>
      </c>
      <c r="B219" t="s">
        <v>23</v>
      </c>
      <c r="C219" t="s">
        <v>30</v>
      </c>
      <c r="D219">
        <v>225</v>
      </c>
      <c r="E219">
        <v>1</v>
      </c>
      <c r="F219" t="s">
        <v>153</v>
      </c>
      <c r="G219" t="s">
        <v>46</v>
      </c>
      <c r="H219" t="s">
        <v>153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49</v>
      </c>
      <c r="Q219" t="s">
        <v>36</v>
      </c>
      <c r="R219" s="1" t="s">
        <v>153</v>
      </c>
    </row>
    <row r="220" spans="1:18" x14ac:dyDescent="0.3">
      <c r="A220" s="4" t="s">
        <v>173</v>
      </c>
      <c r="B220" s="4" t="s">
        <v>175</v>
      </c>
      <c r="C220" s="4" t="s">
        <v>172</v>
      </c>
      <c r="D220" s="4">
        <v>5</v>
      </c>
      <c r="E220" s="4">
        <v>1</v>
      </c>
      <c r="F220" s="4" t="s">
        <v>153</v>
      </c>
      <c r="G220" s="4" t="s">
        <v>32</v>
      </c>
      <c r="H220" s="4" t="s">
        <v>153</v>
      </c>
      <c r="I220" s="4" t="s">
        <v>34</v>
      </c>
      <c r="J220" s="4" t="s">
        <v>41</v>
      </c>
      <c r="K220" s="4" t="s">
        <v>34</v>
      </c>
      <c r="L220" s="4" t="s">
        <v>34</v>
      </c>
      <c r="M220" s="4" t="s">
        <v>34</v>
      </c>
      <c r="N220" s="4" t="s">
        <v>34</v>
      </c>
      <c r="O220" s="4" t="s">
        <v>34</v>
      </c>
      <c r="P220" s="4" t="s">
        <v>35</v>
      </c>
      <c r="Q220" s="4" t="s">
        <v>36</v>
      </c>
      <c r="R220" s="5" t="s">
        <v>153</v>
      </c>
    </row>
    <row r="221" spans="1:18" x14ac:dyDescent="0.3">
      <c r="A221" t="s">
        <v>173</v>
      </c>
      <c r="B221" t="s">
        <v>175</v>
      </c>
      <c r="C221" t="s">
        <v>172</v>
      </c>
      <c r="D221">
        <v>18</v>
      </c>
      <c r="E221">
        <v>1</v>
      </c>
      <c r="F221" t="s">
        <v>37</v>
      </c>
      <c r="G221" t="s">
        <v>32</v>
      </c>
      <c r="H221" t="s">
        <v>61</v>
      </c>
      <c r="I221" t="s">
        <v>34</v>
      </c>
      <c r="J221" t="s">
        <v>41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35</v>
      </c>
      <c r="Q221" t="s">
        <v>36</v>
      </c>
      <c r="R221" s="1" t="s">
        <v>176</v>
      </c>
    </row>
    <row r="222" spans="1:18" x14ac:dyDescent="0.3">
      <c r="A222" s="4" t="s">
        <v>173</v>
      </c>
      <c r="B222" s="4" t="s">
        <v>175</v>
      </c>
      <c r="C222" s="4" t="s">
        <v>172</v>
      </c>
      <c r="D222" s="4">
        <v>24</v>
      </c>
      <c r="E222" s="4">
        <v>1</v>
      </c>
      <c r="F222" s="4" t="s">
        <v>58</v>
      </c>
      <c r="G222" s="4" t="s">
        <v>46</v>
      </c>
      <c r="H222" s="4" t="s">
        <v>55</v>
      </c>
      <c r="I222" s="4" t="s">
        <v>34</v>
      </c>
      <c r="J222" s="4" t="s">
        <v>34</v>
      </c>
      <c r="K222" s="4" t="s">
        <v>34</v>
      </c>
      <c r="L222" s="4" t="s">
        <v>34</v>
      </c>
      <c r="M222" s="4" t="s">
        <v>34</v>
      </c>
      <c r="N222" s="4" t="s">
        <v>34</v>
      </c>
      <c r="O222" s="4" t="s">
        <v>34</v>
      </c>
      <c r="P222" s="4" t="s">
        <v>35</v>
      </c>
      <c r="Q222" s="4" t="s">
        <v>36</v>
      </c>
      <c r="R222" s="5" t="s">
        <v>38</v>
      </c>
    </row>
    <row r="223" spans="1:18" x14ac:dyDescent="0.3">
      <c r="A223" t="s">
        <v>173</v>
      </c>
      <c r="B223" t="s">
        <v>175</v>
      </c>
      <c r="C223" t="s">
        <v>172</v>
      </c>
      <c r="D223">
        <v>27</v>
      </c>
      <c r="E223">
        <v>2</v>
      </c>
      <c r="F223" t="s">
        <v>42</v>
      </c>
      <c r="G223" t="s">
        <v>67</v>
      </c>
      <c r="H223" t="s">
        <v>138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35</v>
      </c>
      <c r="Q223" t="s">
        <v>36</v>
      </c>
      <c r="R223" s="1" t="s">
        <v>43</v>
      </c>
    </row>
    <row r="224" spans="1:18" x14ac:dyDescent="0.3">
      <c r="A224" s="4" t="s">
        <v>173</v>
      </c>
      <c r="B224" s="4" t="s">
        <v>175</v>
      </c>
      <c r="C224" s="4" t="s">
        <v>172</v>
      </c>
      <c r="D224" s="4">
        <v>34</v>
      </c>
      <c r="E224" s="4">
        <v>1</v>
      </c>
      <c r="F224" s="4" t="s">
        <v>42</v>
      </c>
      <c r="G224" s="4" t="s">
        <v>67</v>
      </c>
      <c r="H224" s="4" t="s">
        <v>142</v>
      </c>
      <c r="I224" s="4" t="s">
        <v>34</v>
      </c>
      <c r="J224" s="4" t="s">
        <v>41</v>
      </c>
      <c r="K224" s="4" t="s">
        <v>34</v>
      </c>
      <c r="L224" s="4" t="s">
        <v>34</v>
      </c>
      <c r="M224" s="4" t="s">
        <v>34</v>
      </c>
      <c r="N224" s="4" t="s">
        <v>34</v>
      </c>
      <c r="O224" s="4" t="s">
        <v>34</v>
      </c>
      <c r="P224" s="4" t="s">
        <v>35</v>
      </c>
      <c r="Q224" s="4" t="s">
        <v>36</v>
      </c>
      <c r="R224" s="5" t="s">
        <v>48</v>
      </c>
    </row>
    <row r="225" spans="1:18" x14ac:dyDescent="0.3">
      <c r="A225" t="s">
        <v>173</v>
      </c>
      <c r="B225" t="s">
        <v>175</v>
      </c>
      <c r="C225" t="s">
        <v>172</v>
      </c>
      <c r="D225">
        <v>40</v>
      </c>
      <c r="E225">
        <v>1</v>
      </c>
      <c r="F225" t="s">
        <v>37</v>
      </c>
      <c r="G225" t="s">
        <v>32</v>
      </c>
      <c r="H225" t="s">
        <v>33</v>
      </c>
      <c r="I225" t="s">
        <v>34</v>
      </c>
      <c r="J225" t="s">
        <v>41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35</v>
      </c>
      <c r="Q225" t="s">
        <v>36</v>
      </c>
      <c r="R225" s="1" t="s">
        <v>63</v>
      </c>
    </row>
    <row r="226" spans="1:18" x14ac:dyDescent="0.3">
      <c r="A226" s="4" t="s">
        <v>173</v>
      </c>
      <c r="B226" s="4" t="s">
        <v>175</v>
      </c>
      <c r="C226" s="4" t="s">
        <v>172</v>
      </c>
      <c r="D226" s="4">
        <v>45</v>
      </c>
      <c r="E226" s="4">
        <v>1</v>
      </c>
      <c r="F226" s="4" t="s">
        <v>153</v>
      </c>
      <c r="G226" s="4" t="s">
        <v>67</v>
      </c>
      <c r="H226" s="4" t="s">
        <v>177</v>
      </c>
      <c r="I226" s="4" t="s">
        <v>41</v>
      </c>
      <c r="J226" s="4" t="s">
        <v>41</v>
      </c>
      <c r="K226" s="4" t="s">
        <v>34</v>
      </c>
      <c r="L226" s="4" t="s">
        <v>34</v>
      </c>
      <c r="M226" s="4" t="s">
        <v>34</v>
      </c>
      <c r="N226" s="4" t="s">
        <v>34</v>
      </c>
      <c r="O226" s="4" t="s">
        <v>34</v>
      </c>
      <c r="P226" s="4" t="s">
        <v>35</v>
      </c>
      <c r="Q226" s="4" t="s">
        <v>36</v>
      </c>
      <c r="R226" s="5" t="s">
        <v>45</v>
      </c>
    </row>
    <row r="227" spans="1:18" x14ac:dyDescent="0.3">
      <c r="A227" t="s">
        <v>173</v>
      </c>
      <c r="B227" t="s">
        <v>175</v>
      </c>
      <c r="C227" t="s">
        <v>172</v>
      </c>
      <c r="D227">
        <v>50</v>
      </c>
      <c r="E227">
        <v>1</v>
      </c>
      <c r="F227" t="s">
        <v>42</v>
      </c>
      <c r="G227" t="s">
        <v>32</v>
      </c>
      <c r="H227" t="s">
        <v>40</v>
      </c>
      <c r="I227" t="s">
        <v>34</v>
      </c>
      <c r="J227" t="s">
        <v>41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35</v>
      </c>
      <c r="Q227" t="s">
        <v>36</v>
      </c>
      <c r="R227" s="1" t="s">
        <v>39</v>
      </c>
    </row>
    <row r="228" spans="1:18" x14ac:dyDescent="0.3">
      <c r="A228" s="4" t="s">
        <v>173</v>
      </c>
      <c r="B228" s="4" t="s">
        <v>175</v>
      </c>
      <c r="C228" s="4" t="s">
        <v>172</v>
      </c>
      <c r="D228" s="4">
        <v>56</v>
      </c>
      <c r="E228" s="4">
        <v>2</v>
      </c>
      <c r="F228" s="4" t="s">
        <v>37</v>
      </c>
      <c r="G228" s="4" t="s">
        <v>67</v>
      </c>
      <c r="H228" s="4" t="s">
        <v>112</v>
      </c>
      <c r="I228" s="4" t="s">
        <v>34</v>
      </c>
      <c r="J228" s="4" t="s">
        <v>34</v>
      </c>
      <c r="K228" s="4" t="s">
        <v>34</v>
      </c>
      <c r="L228" s="4" t="s">
        <v>34</v>
      </c>
      <c r="M228" s="4" t="s">
        <v>34</v>
      </c>
      <c r="N228" s="4" t="s">
        <v>41</v>
      </c>
      <c r="O228" s="4" t="s">
        <v>34</v>
      </c>
      <c r="P228" s="4" t="s">
        <v>49</v>
      </c>
      <c r="Q228" s="4" t="s">
        <v>36</v>
      </c>
      <c r="R228" s="5" t="s">
        <v>48</v>
      </c>
    </row>
    <row r="229" spans="1:18" x14ac:dyDescent="0.3">
      <c r="A229" t="s">
        <v>173</v>
      </c>
      <c r="B229" t="s">
        <v>175</v>
      </c>
      <c r="C229" t="s">
        <v>172</v>
      </c>
      <c r="D229">
        <v>68</v>
      </c>
      <c r="E229">
        <v>3</v>
      </c>
      <c r="F229" t="s">
        <v>42</v>
      </c>
      <c r="G229" t="s">
        <v>32</v>
      </c>
      <c r="H229" t="s">
        <v>50</v>
      </c>
      <c r="I229" t="s">
        <v>34</v>
      </c>
      <c r="J229" t="s">
        <v>41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49</v>
      </c>
      <c r="Q229" t="s">
        <v>36</v>
      </c>
      <c r="R229" s="1" t="s">
        <v>48</v>
      </c>
    </row>
    <row r="230" spans="1:18" x14ac:dyDescent="0.3">
      <c r="A230" s="4" t="s">
        <v>173</v>
      </c>
      <c r="B230" s="4" t="s">
        <v>175</v>
      </c>
      <c r="C230" s="4" t="s">
        <v>172</v>
      </c>
      <c r="D230" s="4">
        <v>71</v>
      </c>
      <c r="E230" s="4">
        <v>1</v>
      </c>
      <c r="F230" s="4" t="s">
        <v>37</v>
      </c>
      <c r="G230" s="4" t="s">
        <v>32</v>
      </c>
      <c r="H230" s="4" t="s">
        <v>61</v>
      </c>
      <c r="I230" s="4" t="s">
        <v>34</v>
      </c>
      <c r="J230" s="4" t="s">
        <v>41</v>
      </c>
      <c r="K230" s="4" t="s">
        <v>34</v>
      </c>
      <c r="L230" s="4" t="s">
        <v>34</v>
      </c>
      <c r="M230" s="4" t="s">
        <v>34</v>
      </c>
      <c r="N230" s="4" t="s">
        <v>34</v>
      </c>
      <c r="O230" s="4" t="s">
        <v>34</v>
      </c>
      <c r="P230" s="4" t="s">
        <v>35</v>
      </c>
      <c r="Q230" s="4" t="s">
        <v>36</v>
      </c>
      <c r="R230" s="5" t="s">
        <v>63</v>
      </c>
    </row>
    <row r="231" spans="1:18" x14ac:dyDescent="0.3">
      <c r="A231" t="s">
        <v>173</v>
      </c>
      <c r="B231" t="s">
        <v>175</v>
      </c>
      <c r="C231" t="s">
        <v>172</v>
      </c>
      <c r="D231">
        <v>72</v>
      </c>
      <c r="E231">
        <v>2</v>
      </c>
      <c r="F231" t="s">
        <v>37</v>
      </c>
      <c r="G231" t="s">
        <v>67</v>
      </c>
      <c r="H231" t="s">
        <v>33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49</v>
      </c>
      <c r="Q231" t="s">
        <v>36</v>
      </c>
      <c r="R231" s="1" t="s">
        <v>63</v>
      </c>
    </row>
    <row r="232" spans="1:18" x14ac:dyDescent="0.3">
      <c r="A232" s="4" t="s">
        <v>173</v>
      </c>
      <c r="B232" s="4" t="s">
        <v>175</v>
      </c>
      <c r="C232" s="4" t="s">
        <v>172</v>
      </c>
      <c r="D232" s="4">
        <v>77</v>
      </c>
      <c r="E232" s="4">
        <v>1</v>
      </c>
      <c r="F232" s="4" t="s">
        <v>42</v>
      </c>
      <c r="G232" s="4" t="s">
        <v>67</v>
      </c>
      <c r="H232" s="4" t="s">
        <v>40</v>
      </c>
      <c r="I232" s="4" t="s">
        <v>34</v>
      </c>
      <c r="J232" s="4" t="s">
        <v>41</v>
      </c>
      <c r="K232" s="4" t="s">
        <v>34</v>
      </c>
      <c r="L232" s="4" t="s">
        <v>34</v>
      </c>
      <c r="M232" s="4" t="s">
        <v>34</v>
      </c>
      <c r="N232" s="4" t="s">
        <v>34</v>
      </c>
      <c r="O232" s="4" t="s">
        <v>34</v>
      </c>
      <c r="P232" s="4" t="s">
        <v>49</v>
      </c>
      <c r="Q232" s="4" t="s">
        <v>36</v>
      </c>
      <c r="R232" s="5" t="s">
        <v>126</v>
      </c>
    </row>
    <row r="233" spans="1:18" x14ac:dyDescent="0.3">
      <c r="A233" t="s">
        <v>173</v>
      </c>
      <c r="B233" t="s">
        <v>175</v>
      </c>
      <c r="C233" t="s">
        <v>172</v>
      </c>
      <c r="D233">
        <v>81</v>
      </c>
      <c r="E233">
        <v>3</v>
      </c>
      <c r="F233" t="s">
        <v>37</v>
      </c>
      <c r="G233" t="s">
        <v>32</v>
      </c>
      <c r="H233" t="s">
        <v>33</v>
      </c>
      <c r="I233" t="s">
        <v>34</v>
      </c>
      <c r="J233" t="s">
        <v>41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35</v>
      </c>
      <c r="Q233" t="s">
        <v>36</v>
      </c>
      <c r="R233" s="1" t="s">
        <v>38</v>
      </c>
    </row>
    <row r="234" spans="1:18" x14ac:dyDescent="0.3">
      <c r="A234" s="4" t="s">
        <v>173</v>
      </c>
      <c r="B234" s="4" t="s">
        <v>175</v>
      </c>
      <c r="C234" s="4" t="s">
        <v>172</v>
      </c>
      <c r="D234" s="4">
        <v>83</v>
      </c>
      <c r="E234" s="4">
        <v>3</v>
      </c>
      <c r="F234" s="4" t="s">
        <v>58</v>
      </c>
      <c r="G234" s="4" t="s">
        <v>67</v>
      </c>
      <c r="H234" s="4" t="s">
        <v>106</v>
      </c>
      <c r="I234" s="4" t="s">
        <v>34</v>
      </c>
      <c r="J234" s="4" t="s">
        <v>41</v>
      </c>
      <c r="K234" s="4" t="s">
        <v>34</v>
      </c>
      <c r="L234" s="4" t="s">
        <v>34</v>
      </c>
      <c r="M234" s="4" t="s">
        <v>34</v>
      </c>
      <c r="N234" s="4" t="s">
        <v>34</v>
      </c>
      <c r="O234" s="4" t="s">
        <v>34</v>
      </c>
      <c r="P234" s="4" t="s">
        <v>35</v>
      </c>
      <c r="Q234" s="4" t="s">
        <v>36</v>
      </c>
      <c r="R234" s="5" t="s">
        <v>63</v>
      </c>
    </row>
    <row r="235" spans="1:18" x14ac:dyDescent="0.3">
      <c r="A235" t="s">
        <v>173</v>
      </c>
      <c r="B235" t="s">
        <v>175</v>
      </c>
      <c r="C235" t="s">
        <v>172</v>
      </c>
      <c r="D235">
        <v>89</v>
      </c>
      <c r="E235">
        <v>1</v>
      </c>
      <c r="F235" t="s">
        <v>42</v>
      </c>
      <c r="G235" t="s">
        <v>67</v>
      </c>
      <c r="H235" t="s">
        <v>33</v>
      </c>
      <c r="I235" t="s">
        <v>41</v>
      </c>
      <c r="J235" t="s">
        <v>41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35</v>
      </c>
      <c r="Q235" t="s">
        <v>36</v>
      </c>
      <c r="R235" s="1" t="s">
        <v>48</v>
      </c>
    </row>
    <row r="236" spans="1:18" x14ac:dyDescent="0.3">
      <c r="A236" s="4" t="s">
        <v>173</v>
      </c>
      <c r="B236" s="4" t="s">
        <v>175</v>
      </c>
      <c r="C236" s="4" t="s">
        <v>172</v>
      </c>
      <c r="D236" s="4">
        <v>92</v>
      </c>
      <c r="E236" s="4">
        <v>1</v>
      </c>
      <c r="F236" s="4" t="s">
        <v>37</v>
      </c>
      <c r="G236" s="4" t="s">
        <v>32</v>
      </c>
      <c r="H236" s="4" t="s">
        <v>33</v>
      </c>
      <c r="I236" s="4" t="s">
        <v>34</v>
      </c>
      <c r="J236" s="4" t="s">
        <v>34</v>
      </c>
      <c r="K236" s="4" t="s">
        <v>34</v>
      </c>
      <c r="L236" s="4" t="s">
        <v>34</v>
      </c>
      <c r="M236" s="4" t="s">
        <v>34</v>
      </c>
      <c r="N236" s="4" t="s">
        <v>34</v>
      </c>
      <c r="O236" s="4" t="s">
        <v>34</v>
      </c>
      <c r="P236" s="4" t="s">
        <v>49</v>
      </c>
      <c r="Q236" s="4" t="s">
        <v>36</v>
      </c>
      <c r="R236" s="5" t="s">
        <v>48</v>
      </c>
    </row>
    <row r="237" spans="1:18" x14ac:dyDescent="0.3">
      <c r="A237" t="s">
        <v>173</v>
      </c>
      <c r="B237" t="s">
        <v>175</v>
      </c>
      <c r="C237" t="s">
        <v>172</v>
      </c>
      <c r="D237">
        <v>94</v>
      </c>
      <c r="E237">
        <v>1</v>
      </c>
      <c r="F237" t="s">
        <v>42</v>
      </c>
      <c r="G237" t="s">
        <v>67</v>
      </c>
      <c r="H237" t="s">
        <v>40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49</v>
      </c>
      <c r="Q237" t="s">
        <v>36</v>
      </c>
      <c r="R237" s="1" t="s">
        <v>126</v>
      </c>
    </row>
    <row r="238" spans="1:18" x14ac:dyDescent="0.3">
      <c r="A238" s="4" t="s">
        <v>173</v>
      </c>
      <c r="B238" s="4" t="s">
        <v>175</v>
      </c>
      <c r="C238" s="4" t="s">
        <v>172</v>
      </c>
      <c r="D238" s="4">
        <v>100</v>
      </c>
      <c r="E238" s="4">
        <v>1</v>
      </c>
      <c r="F238" s="4" t="s">
        <v>129</v>
      </c>
      <c r="G238" s="4" t="s">
        <v>32</v>
      </c>
      <c r="H238" s="4" t="s">
        <v>130</v>
      </c>
      <c r="I238" s="4" t="s">
        <v>34</v>
      </c>
      <c r="J238" s="4" t="s">
        <v>34</v>
      </c>
      <c r="K238" s="4" t="s">
        <v>34</v>
      </c>
      <c r="L238" s="4" t="s">
        <v>34</v>
      </c>
      <c r="M238" s="4" t="s">
        <v>34</v>
      </c>
      <c r="N238" s="4" t="s">
        <v>34</v>
      </c>
      <c r="O238" s="4" t="s">
        <v>34</v>
      </c>
      <c r="P238" s="4" t="s">
        <v>49</v>
      </c>
      <c r="Q238" s="4" t="s">
        <v>36</v>
      </c>
      <c r="R238" s="5" t="s">
        <v>178</v>
      </c>
    </row>
    <row r="239" spans="1:18" x14ac:dyDescent="0.3">
      <c r="A239" t="s">
        <v>173</v>
      </c>
      <c r="B239" t="s">
        <v>175</v>
      </c>
      <c r="C239" t="s">
        <v>172</v>
      </c>
      <c r="D239">
        <v>101</v>
      </c>
      <c r="E239">
        <v>1</v>
      </c>
      <c r="F239" t="s">
        <v>42</v>
      </c>
      <c r="G239" t="s">
        <v>32</v>
      </c>
      <c r="H239" t="s">
        <v>179</v>
      </c>
      <c r="I239" t="s">
        <v>34</v>
      </c>
      <c r="J239" t="s">
        <v>34</v>
      </c>
      <c r="K239" t="s">
        <v>41</v>
      </c>
      <c r="L239" t="s">
        <v>41</v>
      </c>
      <c r="M239" t="s">
        <v>34</v>
      </c>
      <c r="N239" t="s">
        <v>34</v>
      </c>
      <c r="O239" t="s">
        <v>34</v>
      </c>
      <c r="P239" t="s">
        <v>49</v>
      </c>
      <c r="Q239" t="s">
        <v>36</v>
      </c>
      <c r="R239" s="1" t="s">
        <v>145</v>
      </c>
    </row>
    <row r="240" spans="1:18" x14ac:dyDescent="0.3">
      <c r="A240" s="4" t="s">
        <v>173</v>
      </c>
      <c r="B240" s="4" t="s">
        <v>175</v>
      </c>
      <c r="C240" s="4" t="s">
        <v>172</v>
      </c>
      <c r="D240" s="4">
        <v>109</v>
      </c>
      <c r="E240" s="4">
        <v>1</v>
      </c>
      <c r="F240" s="4" t="s">
        <v>37</v>
      </c>
      <c r="G240" s="4" t="s">
        <v>67</v>
      </c>
      <c r="H240" s="4" t="s">
        <v>33</v>
      </c>
      <c r="I240" s="4" t="s">
        <v>34</v>
      </c>
      <c r="J240" s="4" t="s">
        <v>34</v>
      </c>
      <c r="K240" s="4" t="s">
        <v>34</v>
      </c>
      <c r="L240" s="4" t="s">
        <v>34</v>
      </c>
      <c r="M240" s="4" t="s">
        <v>34</v>
      </c>
      <c r="N240" s="4" t="s">
        <v>34</v>
      </c>
      <c r="O240" s="4" t="s">
        <v>34</v>
      </c>
      <c r="P240" s="4" t="s">
        <v>35</v>
      </c>
      <c r="Q240" s="4" t="s">
        <v>56</v>
      </c>
      <c r="R240" s="5" t="s">
        <v>63</v>
      </c>
    </row>
    <row r="241" spans="1:18" x14ac:dyDescent="0.3">
      <c r="A241" t="s">
        <v>173</v>
      </c>
      <c r="B241" t="s">
        <v>175</v>
      </c>
      <c r="C241" t="s">
        <v>172</v>
      </c>
      <c r="D241">
        <v>117</v>
      </c>
      <c r="E241">
        <v>4</v>
      </c>
      <c r="F241" t="s">
        <v>37</v>
      </c>
      <c r="G241" t="s">
        <v>67</v>
      </c>
      <c r="H241" t="s">
        <v>61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35</v>
      </c>
      <c r="Q241" t="s">
        <v>56</v>
      </c>
      <c r="R241" s="1" t="s">
        <v>63</v>
      </c>
    </row>
    <row r="242" spans="1:18" x14ac:dyDescent="0.3">
      <c r="A242" s="4" t="s">
        <v>173</v>
      </c>
      <c r="B242" s="4" t="s">
        <v>175</v>
      </c>
      <c r="C242" s="4" t="s">
        <v>172</v>
      </c>
      <c r="D242" s="4">
        <v>123</v>
      </c>
      <c r="E242" s="4">
        <v>1</v>
      </c>
      <c r="F242" s="4" t="s">
        <v>42</v>
      </c>
      <c r="G242" s="4" t="s">
        <v>67</v>
      </c>
      <c r="H242" s="4" t="s">
        <v>142</v>
      </c>
      <c r="I242" s="4" t="s">
        <v>34</v>
      </c>
      <c r="J242" s="4" t="s">
        <v>41</v>
      </c>
      <c r="K242" s="4" t="s">
        <v>34</v>
      </c>
      <c r="L242" s="4" t="s">
        <v>34</v>
      </c>
      <c r="M242" s="4" t="s">
        <v>34</v>
      </c>
      <c r="N242" s="4" t="s">
        <v>34</v>
      </c>
      <c r="O242" s="4" t="s">
        <v>34</v>
      </c>
      <c r="P242" s="4" t="s">
        <v>35</v>
      </c>
      <c r="Q242" s="4" t="s">
        <v>56</v>
      </c>
      <c r="R242" s="5" t="s">
        <v>38</v>
      </c>
    </row>
    <row r="243" spans="1:18" x14ac:dyDescent="0.3">
      <c r="A243" t="s">
        <v>173</v>
      </c>
      <c r="B243" t="s">
        <v>175</v>
      </c>
      <c r="C243" t="s">
        <v>172</v>
      </c>
      <c r="D243">
        <v>127</v>
      </c>
      <c r="E243">
        <v>1</v>
      </c>
      <c r="F243" t="s">
        <v>58</v>
      </c>
      <c r="G243" t="s">
        <v>67</v>
      </c>
      <c r="H243" t="s">
        <v>106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35</v>
      </c>
      <c r="Q243" t="s">
        <v>56</v>
      </c>
      <c r="R243" s="1" t="s">
        <v>145</v>
      </c>
    </row>
    <row r="244" spans="1:18" x14ac:dyDescent="0.3">
      <c r="A244" s="4" t="s">
        <v>173</v>
      </c>
      <c r="B244" s="4" t="s">
        <v>175</v>
      </c>
      <c r="C244" s="4" t="s">
        <v>172</v>
      </c>
      <c r="D244" s="4">
        <v>132</v>
      </c>
      <c r="E244" s="4">
        <v>1</v>
      </c>
      <c r="F244" s="4" t="s">
        <v>37</v>
      </c>
      <c r="G244" s="4" t="s">
        <v>32</v>
      </c>
      <c r="H244" s="4" t="s">
        <v>33</v>
      </c>
      <c r="I244" s="4" t="s">
        <v>34</v>
      </c>
      <c r="J244" s="4" t="s">
        <v>41</v>
      </c>
      <c r="K244" s="4" t="s">
        <v>34</v>
      </c>
      <c r="L244" s="4" t="s">
        <v>34</v>
      </c>
      <c r="M244" s="4" t="s">
        <v>34</v>
      </c>
      <c r="N244" s="4" t="s">
        <v>34</v>
      </c>
      <c r="O244" s="4" t="s">
        <v>34</v>
      </c>
      <c r="P244" s="4" t="s">
        <v>35</v>
      </c>
      <c r="Q244" s="4" t="s">
        <v>56</v>
      </c>
      <c r="R244" s="5" t="s">
        <v>150</v>
      </c>
    </row>
    <row r="245" spans="1:18" x14ac:dyDescent="0.3">
      <c r="A245" t="s">
        <v>173</v>
      </c>
      <c r="B245" t="s">
        <v>175</v>
      </c>
      <c r="C245" t="s">
        <v>172</v>
      </c>
      <c r="D245">
        <v>144</v>
      </c>
      <c r="E245">
        <v>1</v>
      </c>
      <c r="F245" t="s">
        <v>37</v>
      </c>
      <c r="G245" t="s">
        <v>67</v>
      </c>
      <c r="H245" t="s">
        <v>33</v>
      </c>
      <c r="I245" t="s">
        <v>34</v>
      </c>
      <c r="J245" t="s">
        <v>41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35</v>
      </c>
      <c r="Q245" t="s">
        <v>56</v>
      </c>
      <c r="R245" s="1" t="s">
        <v>63</v>
      </c>
    </row>
    <row r="246" spans="1:18" x14ac:dyDescent="0.3">
      <c r="A246" s="4" t="s">
        <v>173</v>
      </c>
      <c r="B246" s="4" t="s">
        <v>175</v>
      </c>
      <c r="C246" s="4" t="s">
        <v>172</v>
      </c>
      <c r="D246" s="4">
        <v>163</v>
      </c>
      <c r="E246" s="4">
        <v>1</v>
      </c>
      <c r="F246" s="4" t="s">
        <v>42</v>
      </c>
      <c r="G246" s="4" t="s">
        <v>67</v>
      </c>
      <c r="H246" s="4" t="s">
        <v>72</v>
      </c>
      <c r="I246" s="4" t="s">
        <v>34</v>
      </c>
      <c r="J246" s="4" t="s">
        <v>34</v>
      </c>
      <c r="K246" s="4" t="s">
        <v>41</v>
      </c>
      <c r="L246" s="4" t="s">
        <v>41</v>
      </c>
      <c r="M246" s="4" t="s">
        <v>34</v>
      </c>
      <c r="N246" s="4" t="s">
        <v>34</v>
      </c>
      <c r="O246" s="4" t="s">
        <v>34</v>
      </c>
      <c r="P246" s="4" t="s">
        <v>49</v>
      </c>
      <c r="Q246" s="4" t="s">
        <v>56</v>
      </c>
      <c r="R246" s="5" t="s">
        <v>54</v>
      </c>
    </row>
    <row r="247" spans="1:18" x14ac:dyDescent="0.3">
      <c r="A247" t="s">
        <v>173</v>
      </c>
      <c r="B247" t="s">
        <v>175</v>
      </c>
      <c r="C247" t="s">
        <v>172</v>
      </c>
      <c r="D247">
        <v>167</v>
      </c>
      <c r="E247">
        <v>3</v>
      </c>
      <c r="F247" t="s">
        <v>37</v>
      </c>
      <c r="G247" t="s">
        <v>108</v>
      </c>
      <c r="H247" t="s">
        <v>33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35</v>
      </c>
      <c r="Q247" t="s">
        <v>56</v>
      </c>
      <c r="R247" s="1" t="s">
        <v>63</v>
      </c>
    </row>
    <row r="248" spans="1:18" x14ac:dyDescent="0.3">
      <c r="A248" s="4" t="s">
        <v>173</v>
      </c>
      <c r="B248" s="4" t="s">
        <v>175</v>
      </c>
      <c r="C248" s="4" t="s">
        <v>172</v>
      </c>
      <c r="D248" s="4">
        <v>169</v>
      </c>
      <c r="E248" s="4">
        <v>1</v>
      </c>
      <c r="F248" s="4" t="s">
        <v>37</v>
      </c>
      <c r="G248" s="4" t="s">
        <v>108</v>
      </c>
      <c r="H248" s="4" t="s">
        <v>33</v>
      </c>
      <c r="I248" s="4" t="s">
        <v>34</v>
      </c>
      <c r="J248" s="4" t="s">
        <v>34</v>
      </c>
      <c r="K248" s="4" t="s">
        <v>34</v>
      </c>
      <c r="L248" s="4" t="s">
        <v>34</v>
      </c>
      <c r="M248" s="4" t="s">
        <v>41</v>
      </c>
      <c r="N248" s="4" t="s">
        <v>34</v>
      </c>
      <c r="O248" s="4" t="s">
        <v>34</v>
      </c>
      <c r="P248" s="4" t="s">
        <v>35</v>
      </c>
      <c r="Q248" s="4" t="s">
        <v>56</v>
      </c>
      <c r="R248" s="5" t="s">
        <v>148</v>
      </c>
    </row>
    <row r="249" spans="1:18" x14ac:dyDescent="0.3">
      <c r="A249" t="s">
        <v>173</v>
      </c>
      <c r="B249" t="s">
        <v>175</v>
      </c>
      <c r="C249" t="s">
        <v>172</v>
      </c>
      <c r="D249">
        <v>187</v>
      </c>
      <c r="E249">
        <v>1</v>
      </c>
      <c r="F249" t="s">
        <v>37</v>
      </c>
      <c r="G249" t="s">
        <v>67</v>
      </c>
      <c r="H249" t="s">
        <v>61</v>
      </c>
      <c r="I249" t="s">
        <v>34</v>
      </c>
      <c r="J249" t="s">
        <v>41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35</v>
      </c>
      <c r="Q249" t="s">
        <v>56</v>
      </c>
      <c r="R249" s="1" t="s">
        <v>38</v>
      </c>
    </row>
    <row r="250" spans="1:18" x14ac:dyDescent="0.3">
      <c r="A250" s="4" t="s">
        <v>173</v>
      </c>
      <c r="B250" s="4" t="s">
        <v>175</v>
      </c>
      <c r="C250" s="4" t="s">
        <v>172</v>
      </c>
      <c r="D250" s="4">
        <v>192</v>
      </c>
      <c r="E250" s="4">
        <v>1</v>
      </c>
      <c r="F250" s="4" t="s">
        <v>37</v>
      </c>
      <c r="G250" s="4" t="s">
        <v>67</v>
      </c>
      <c r="H250" s="4" t="s">
        <v>142</v>
      </c>
      <c r="I250" s="4" t="s">
        <v>34</v>
      </c>
      <c r="J250" s="4" t="s">
        <v>34</v>
      </c>
      <c r="K250" s="4" t="s">
        <v>34</v>
      </c>
      <c r="L250" s="4" t="s">
        <v>34</v>
      </c>
      <c r="M250" s="4" t="s">
        <v>34</v>
      </c>
      <c r="N250" s="4" t="s">
        <v>34</v>
      </c>
      <c r="O250" s="4" t="s">
        <v>34</v>
      </c>
      <c r="P250" s="4" t="s">
        <v>35</v>
      </c>
      <c r="Q250" s="4" t="s">
        <v>56</v>
      </c>
      <c r="R250" s="5" t="s">
        <v>124</v>
      </c>
    </row>
    <row r="251" spans="1:18" x14ac:dyDescent="0.3">
      <c r="A251" t="s">
        <v>173</v>
      </c>
      <c r="B251" t="s">
        <v>175</v>
      </c>
      <c r="C251" t="s">
        <v>172</v>
      </c>
      <c r="D251">
        <v>200</v>
      </c>
      <c r="E251">
        <v>1</v>
      </c>
      <c r="F251" t="s">
        <v>42</v>
      </c>
      <c r="G251" t="s">
        <v>67</v>
      </c>
      <c r="H251" t="s">
        <v>101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35</v>
      </c>
      <c r="Q251" t="s">
        <v>56</v>
      </c>
      <c r="R251" s="1" t="s">
        <v>43</v>
      </c>
    </row>
    <row r="252" spans="1:18" x14ac:dyDescent="0.3">
      <c r="A252" s="4" t="s">
        <v>173</v>
      </c>
      <c r="B252" s="4" t="s">
        <v>175</v>
      </c>
      <c r="C252" s="4" t="s">
        <v>172</v>
      </c>
      <c r="D252" s="4">
        <v>202</v>
      </c>
      <c r="E252" s="4">
        <v>3</v>
      </c>
      <c r="F252" s="4" t="s">
        <v>42</v>
      </c>
      <c r="G252" s="4" t="s">
        <v>67</v>
      </c>
      <c r="H252" s="4" t="s">
        <v>40</v>
      </c>
      <c r="I252" s="4" t="s">
        <v>34</v>
      </c>
      <c r="J252" s="4" t="s">
        <v>34</v>
      </c>
      <c r="K252" s="4" t="s">
        <v>34</v>
      </c>
      <c r="L252" s="4" t="s">
        <v>34</v>
      </c>
      <c r="M252" s="4" t="s">
        <v>41</v>
      </c>
      <c r="N252" s="4" t="s">
        <v>34</v>
      </c>
      <c r="O252" s="4" t="s">
        <v>34</v>
      </c>
      <c r="P252" s="4" t="s">
        <v>35</v>
      </c>
      <c r="Q252" s="4" t="s">
        <v>56</v>
      </c>
      <c r="R252" s="5" t="s">
        <v>63</v>
      </c>
    </row>
    <row r="253" spans="1:18" x14ac:dyDescent="0.3">
      <c r="A253" t="s">
        <v>173</v>
      </c>
      <c r="B253" t="s">
        <v>175</v>
      </c>
      <c r="C253" t="s">
        <v>172</v>
      </c>
      <c r="D253">
        <v>206</v>
      </c>
      <c r="E253">
        <v>3</v>
      </c>
      <c r="F253" t="s">
        <v>37</v>
      </c>
      <c r="G253" t="s">
        <v>67</v>
      </c>
      <c r="H253" t="s">
        <v>33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35</v>
      </c>
      <c r="Q253" t="s">
        <v>56</v>
      </c>
      <c r="R253" s="1" t="s">
        <v>180</v>
      </c>
    </row>
    <row r="254" spans="1:18" x14ac:dyDescent="0.3">
      <c r="A254" s="4" t="s">
        <v>173</v>
      </c>
      <c r="B254" s="4" t="s">
        <v>175</v>
      </c>
      <c r="C254" s="4" t="s">
        <v>172</v>
      </c>
      <c r="D254" s="4">
        <v>210</v>
      </c>
      <c r="E254" s="4">
        <v>3</v>
      </c>
      <c r="F254" s="4" t="s">
        <v>58</v>
      </c>
      <c r="G254" s="4" t="s">
        <v>67</v>
      </c>
      <c r="H254" s="4" t="s">
        <v>106</v>
      </c>
      <c r="I254" s="4" t="s">
        <v>34</v>
      </c>
      <c r="J254" s="4" t="s">
        <v>34</v>
      </c>
      <c r="K254" s="4" t="s">
        <v>34</v>
      </c>
      <c r="L254" s="4" t="s">
        <v>34</v>
      </c>
      <c r="M254" s="4" t="s">
        <v>34</v>
      </c>
      <c r="N254" s="4" t="s">
        <v>34</v>
      </c>
      <c r="O254" s="4" t="s">
        <v>41</v>
      </c>
      <c r="P254" s="4" t="s">
        <v>35</v>
      </c>
      <c r="Q254" s="4" t="s">
        <v>56</v>
      </c>
      <c r="R254" s="5" t="s">
        <v>176</v>
      </c>
    </row>
    <row r="255" spans="1:18" x14ac:dyDescent="0.3">
      <c r="A255" t="s">
        <v>173</v>
      </c>
      <c r="B255" t="s">
        <v>175</v>
      </c>
      <c r="C255" t="s">
        <v>172</v>
      </c>
      <c r="D255">
        <v>213</v>
      </c>
      <c r="E255">
        <v>3</v>
      </c>
      <c r="F255" t="s">
        <v>37</v>
      </c>
      <c r="G255" t="s">
        <v>32</v>
      </c>
      <c r="H255" t="s">
        <v>33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41</v>
      </c>
      <c r="P255" t="s">
        <v>35</v>
      </c>
      <c r="Q255" t="s">
        <v>56</v>
      </c>
      <c r="R255" s="1" t="s">
        <v>63</v>
      </c>
    </row>
    <row r="256" spans="1:18" x14ac:dyDescent="0.3">
      <c r="A256" s="4" t="s">
        <v>173</v>
      </c>
      <c r="B256" s="4" t="s">
        <v>175</v>
      </c>
      <c r="C256" s="4" t="s">
        <v>172</v>
      </c>
      <c r="D256" s="4">
        <v>221</v>
      </c>
      <c r="E256" s="4">
        <v>1</v>
      </c>
      <c r="F256" s="4" t="s">
        <v>37</v>
      </c>
      <c r="G256" s="4" t="s">
        <v>46</v>
      </c>
      <c r="H256" s="4" t="s">
        <v>61</v>
      </c>
      <c r="I256" s="4" t="s">
        <v>34</v>
      </c>
      <c r="J256" s="4" t="s">
        <v>41</v>
      </c>
      <c r="K256" s="4" t="s">
        <v>34</v>
      </c>
      <c r="L256" s="4" t="s">
        <v>34</v>
      </c>
      <c r="M256" s="4" t="s">
        <v>34</v>
      </c>
      <c r="N256" s="4" t="s">
        <v>34</v>
      </c>
      <c r="O256" s="4" t="s">
        <v>41</v>
      </c>
      <c r="P256" s="4" t="s">
        <v>35</v>
      </c>
      <c r="Q256" s="4" t="s">
        <v>56</v>
      </c>
      <c r="R256" s="5" t="s">
        <v>47</v>
      </c>
    </row>
    <row r="257" spans="1:18" x14ac:dyDescent="0.3">
      <c r="A257" t="s">
        <v>173</v>
      </c>
      <c r="B257" t="s">
        <v>175</v>
      </c>
      <c r="C257" t="s">
        <v>172</v>
      </c>
      <c r="D257">
        <v>226</v>
      </c>
      <c r="E257">
        <v>3</v>
      </c>
      <c r="F257" t="s">
        <v>53</v>
      </c>
      <c r="G257" t="s">
        <v>67</v>
      </c>
      <c r="H257" t="s">
        <v>153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35</v>
      </c>
      <c r="Q257" t="s">
        <v>56</v>
      </c>
      <c r="R257" s="1" t="s">
        <v>63</v>
      </c>
    </row>
    <row r="258" spans="1:18" x14ac:dyDescent="0.3">
      <c r="A258" s="4" t="s">
        <v>173</v>
      </c>
      <c r="B258" s="4" t="s">
        <v>175</v>
      </c>
      <c r="C258" s="4" t="s">
        <v>172</v>
      </c>
      <c r="D258" s="4">
        <v>234</v>
      </c>
      <c r="E258" s="4">
        <v>1</v>
      </c>
      <c r="F258" s="4" t="s">
        <v>37</v>
      </c>
      <c r="G258" s="4" t="s">
        <v>67</v>
      </c>
      <c r="H258" s="4" t="s">
        <v>33</v>
      </c>
      <c r="I258" s="4" t="s">
        <v>34</v>
      </c>
      <c r="J258" s="4" t="s">
        <v>41</v>
      </c>
      <c r="K258" s="4" t="s">
        <v>34</v>
      </c>
      <c r="L258" s="4" t="s">
        <v>34</v>
      </c>
      <c r="M258" s="4" t="s">
        <v>34</v>
      </c>
      <c r="N258" s="4" t="s">
        <v>34</v>
      </c>
      <c r="O258" s="4" t="s">
        <v>34</v>
      </c>
      <c r="P258" s="4" t="s">
        <v>35</v>
      </c>
      <c r="Q258" s="4" t="s">
        <v>56</v>
      </c>
      <c r="R258" s="5" t="s">
        <v>181</v>
      </c>
    </row>
    <row r="259" spans="1:18" x14ac:dyDescent="0.3">
      <c r="A259" t="s">
        <v>173</v>
      </c>
      <c r="B259" t="s">
        <v>175</v>
      </c>
      <c r="C259" t="s">
        <v>172</v>
      </c>
      <c r="D259">
        <v>239</v>
      </c>
      <c r="E259">
        <v>1</v>
      </c>
      <c r="F259" t="s">
        <v>42</v>
      </c>
      <c r="G259" t="s">
        <v>32</v>
      </c>
      <c r="H259" t="s">
        <v>40</v>
      </c>
      <c r="I259" t="s">
        <v>34</v>
      </c>
      <c r="J259" t="s">
        <v>41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35</v>
      </c>
      <c r="Q259" t="s">
        <v>56</v>
      </c>
      <c r="R259" s="1" t="s">
        <v>63</v>
      </c>
    </row>
    <row r="260" spans="1:18" x14ac:dyDescent="0.3">
      <c r="A260" s="4" t="s">
        <v>173</v>
      </c>
      <c r="B260" s="4" t="s">
        <v>175</v>
      </c>
      <c r="C260" s="4" t="s">
        <v>172</v>
      </c>
      <c r="D260" s="4">
        <v>242</v>
      </c>
      <c r="E260" s="4">
        <v>1</v>
      </c>
      <c r="F260" s="4" t="s">
        <v>42</v>
      </c>
      <c r="G260" s="4" t="s">
        <v>67</v>
      </c>
      <c r="H260" s="4" t="s">
        <v>40</v>
      </c>
      <c r="I260" s="4" t="s">
        <v>34</v>
      </c>
      <c r="J260" s="4" t="s">
        <v>34</v>
      </c>
      <c r="K260" s="4" t="s">
        <v>34</v>
      </c>
      <c r="L260" s="4" t="s">
        <v>34</v>
      </c>
      <c r="M260" s="4" t="s">
        <v>34</v>
      </c>
      <c r="N260" s="4" t="s">
        <v>34</v>
      </c>
      <c r="O260" s="4" t="s">
        <v>34</v>
      </c>
      <c r="P260" s="4" t="s">
        <v>49</v>
      </c>
      <c r="Q260" s="4" t="s">
        <v>56</v>
      </c>
      <c r="R260" s="5" t="s">
        <v>63</v>
      </c>
    </row>
    <row r="261" spans="1:18" x14ac:dyDescent="0.3">
      <c r="A261" t="s">
        <v>173</v>
      </c>
      <c r="B261" t="s">
        <v>175</v>
      </c>
      <c r="C261" t="s">
        <v>172</v>
      </c>
      <c r="D261">
        <v>247</v>
      </c>
      <c r="E261">
        <v>1</v>
      </c>
      <c r="F261" t="s">
        <v>42</v>
      </c>
      <c r="G261" t="s">
        <v>67</v>
      </c>
      <c r="H261" t="s">
        <v>40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49</v>
      </c>
      <c r="Q261" t="s">
        <v>56</v>
      </c>
      <c r="R261" s="1" t="s">
        <v>182</v>
      </c>
    </row>
    <row r="262" spans="1:18" x14ac:dyDescent="0.3">
      <c r="A262" s="4" t="s">
        <v>173</v>
      </c>
      <c r="B262" s="4" t="s">
        <v>175</v>
      </c>
      <c r="C262" s="4" t="s">
        <v>172</v>
      </c>
      <c r="D262" s="4">
        <v>249</v>
      </c>
      <c r="E262" s="4">
        <v>3</v>
      </c>
      <c r="F262" s="4" t="s">
        <v>37</v>
      </c>
      <c r="G262" s="4" t="s">
        <v>46</v>
      </c>
      <c r="H262" s="4" t="s">
        <v>33</v>
      </c>
      <c r="I262" s="4" t="s">
        <v>34</v>
      </c>
      <c r="J262" s="4" t="s">
        <v>41</v>
      </c>
      <c r="K262" s="4" t="s">
        <v>34</v>
      </c>
      <c r="L262" s="4" t="s">
        <v>34</v>
      </c>
      <c r="M262" s="4" t="s">
        <v>34</v>
      </c>
      <c r="N262" s="4" t="s">
        <v>34</v>
      </c>
      <c r="O262" s="4" t="s">
        <v>34</v>
      </c>
      <c r="P262" s="4" t="s">
        <v>35</v>
      </c>
      <c r="Q262" s="4" t="s">
        <v>56</v>
      </c>
      <c r="R262" s="5" t="s">
        <v>63</v>
      </c>
    </row>
    <row r="263" spans="1:18" x14ac:dyDescent="0.3">
      <c r="A263" t="s">
        <v>173</v>
      </c>
      <c r="B263" t="s">
        <v>175</v>
      </c>
      <c r="C263" t="s">
        <v>172</v>
      </c>
      <c r="D263">
        <v>255</v>
      </c>
      <c r="E263">
        <v>1</v>
      </c>
      <c r="F263" t="s">
        <v>37</v>
      </c>
      <c r="G263" t="s">
        <v>46</v>
      </c>
      <c r="H263" t="s">
        <v>33</v>
      </c>
      <c r="I263" t="s">
        <v>34</v>
      </c>
      <c r="J263" t="s">
        <v>41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35</v>
      </c>
      <c r="Q263" t="s">
        <v>56</v>
      </c>
      <c r="R263" s="1" t="s">
        <v>63</v>
      </c>
    </row>
    <row r="264" spans="1:18" x14ac:dyDescent="0.3">
      <c r="A264" s="4" t="s">
        <v>173</v>
      </c>
      <c r="B264" s="4" t="s">
        <v>175</v>
      </c>
      <c r="C264" s="4" t="s">
        <v>172</v>
      </c>
      <c r="D264" s="4">
        <v>274</v>
      </c>
      <c r="E264" s="4">
        <v>1</v>
      </c>
      <c r="F264" s="4" t="s">
        <v>42</v>
      </c>
      <c r="G264" s="4" t="s">
        <v>67</v>
      </c>
      <c r="H264" s="4" t="s">
        <v>40</v>
      </c>
      <c r="I264" s="4" t="s">
        <v>34</v>
      </c>
      <c r="J264" s="4" t="s">
        <v>34</v>
      </c>
      <c r="K264" s="4" t="s">
        <v>41</v>
      </c>
      <c r="L264" s="4" t="s">
        <v>41</v>
      </c>
      <c r="M264" s="4" t="s">
        <v>34</v>
      </c>
      <c r="N264" s="4" t="s">
        <v>34</v>
      </c>
      <c r="O264" s="4" t="s">
        <v>34</v>
      </c>
      <c r="P264" s="4" t="s">
        <v>49</v>
      </c>
      <c r="Q264" s="4" t="s">
        <v>56</v>
      </c>
      <c r="R264" s="5" t="s">
        <v>157</v>
      </c>
    </row>
    <row r="265" spans="1:18" x14ac:dyDescent="0.3">
      <c r="A265" t="s">
        <v>174</v>
      </c>
      <c r="B265" t="s">
        <v>4</v>
      </c>
      <c r="C265" t="s">
        <v>24</v>
      </c>
      <c r="D265">
        <v>4</v>
      </c>
      <c r="E265">
        <v>1</v>
      </c>
      <c r="F265" t="s">
        <v>37</v>
      </c>
      <c r="G265" t="s">
        <v>108</v>
      </c>
      <c r="H265" t="s">
        <v>61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35</v>
      </c>
      <c r="Q265" t="s">
        <v>36</v>
      </c>
      <c r="R265" s="1" t="s">
        <v>43</v>
      </c>
    </row>
    <row r="266" spans="1:18" x14ac:dyDescent="0.3">
      <c r="A266" s="4" t="s">
        <v>174</v>
      </c>
      <c r="B266" s="4" t="s">
        <v>4</v>
      </c>
      <c r="C266" s="4" t="s">
        <v>24</v>
      </c>
      <c r="D266" s="4">
        <v>7</v>
      </c>
      <c r="E266" s="4">
        <v>1</v>
      </c>
      <c r="F266" s="4" t="s">
        <v>58</v>
      </c>
      <c r="G266" s="4" t="s">
        <v>32</v>
      </c>
      <c r="H266" s="4" t="s">
        <v>55</v>
      </c>
      <c r="I266" s="4" t="s">
        <v>34</v>
      </c>
      <c r="J266" s="4" t="s">
        <v>34</v>
      </c>
      <c r="K266" s="4" t="s">
        <v>34</v>
      </c>
      <c r="L266" s="4" t="s">
        <v>34</v>
      </c>
      <c r="M266" s="4" t="s">
        <v>34</v>
      </c>
      <c r="N266" s="4" t="s">
        <v>34</v>
      </c>
      <c r="O266" s="4" t="s">
        <v>34</v>
      </c>
      <c r="P266" s="4" t="s">
        <v>35</v>
      </c>
      <c r="Q266" s="4" t="s">
        <v>36</v>
      </c>
      <c r="R266" s="5" t="s">
        <v>38</v>
      </c>
    </row>
    <row r="267" spans="1:18" x14ac:dyDescent="0.3">
      <c r="A267" t="s">
        <v>174</v>
      </c>
      <c r="B267" t="s">
        <v>4</v>
      </c>
      <c r="C267" t="s">
        <v>24</v>
      </c>
      <c r="D267">
        <v>9</v>
      </c>
      <c r="E267">
        <v>1</v>
      </c>
      <c r="F267" t="s">
        <v>37</v>
      </c>
      <c r="G267" t="s">
        <v>32</v>
      </c>
      <c r="H267" t="s">
        <v>33</v>
      </c>
      <c r="I267" t="s">
        <v>34</v>
      </c>
      <c r="J267" t="s">
        <v>41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35</v>
      </c>
      <c r="Q267" t="s">
        <v>36</v>
      </c>
      <c r="R267" s="1" t="s">
        <v>38</v>
      </c>
    </row>
    <row r="268" spans="1:18" x14ac:dyDescent="0.3">
      <c r="A268" s="4" t="s">
        <v>174</v>
      </c>
      <c r="B268" s="4" t="s">
        <v>4</v>
      </c>
      <c r="C268" s="4" t="s">
        <v>24</v>
      </c>
      <c r="D268" s="4">
        <v>14</v>
      </c>
      <c r="E268" s="4">
        <v>1</v>
      </c>
      <c r="F268" s="4" t="s">
        <v>37</v>
      </c>
      <c r="G268" s="4" t="s">
        <v>108</v>
      </c>
      <c r="H268" s="4" t="s">
        <v>33</v>
      </c>
      <c r="I268" s="4" t="s">
        <v>34</v>
      </c>
      <c r="J268" s="4" t="s">
        <v>41</v>
      </c>
      <c r="K268" s="4" t="s">
        <v>34</v>
      </c>
      <c r="L268" s="4" t="s">
        <v>34</v>
      </c>
      <c r="M268" s="4" t="s">
        <v>34</v>
      </c>
      <c r="N268" s="4" t="s">
        <v>34</v>
      </c>
      <c r="O268" s="4" t="s">
        <v>34</v>
      </c>
      <c r="P268" s="4" t="s">
        <v>35</v>
      </c>
      <c r="Q268" s="4" t="s">
        <v>36</v>
      </c>
      <c r="R268" s="5" t="s">
        <v>133</v>
      </c>
    </row>
    <row r="269" spans="1:18" x14ac:dyDescent="0.3">
      <c r="A269" t="s">
        <v>174</v>
      </c>
      <c r="B269" t="s">
        <v>4</v>
      </c>
      <c r="C269" t="s">
        <v>24</v>
      </c>
      <c r="D269">
        <v>18</v>
      </c>
      <c r="E269">
        <v>1</v>
      </c>
      <c r="F269" t="s">
        <v>37</v>
      </c>
      <c r="G269" t="s">
        <v>149</v>
      </c>
      <c r="H269" t="s">
        <v>33</v>
      </c>
      <c r="I269" t="s">
        <v>34</v>
      </c>
      <c r="J269" t="s">
        <v>41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35</v>
      </c>
      <c r="Q269" t="s">
        <v>36</v>
      </c>
      <c r="R269" s="1" t="s">
        <v>91</v>
      </c>
    </row>
    <row r="270" spans="1:18" x14ac:dyDescent="0.3">
      <c r="A270" s="4" t="s">
        <v>174</v>
      </c>
      <c r="B270" s="4" t="s">
        <v>4</v>
      </c>
      <c r="C270" s="4" t="s">
        <v>24</v>
      </c>
      <c r="D270" s="4">
        <v>24</v>
      </c>
      <c r="E270" s="4">
        <v>2</v>
      </c>
      <c r="F270" s="4" t="s">
        <v>58</v>
      </c>
      <c r="G270" s="4" t="s">
        <v>108</v>
      </c>
      <c r="H270" s="4" t="s">
        <v>183</v>
      </c>
      <c r="I270" s="4" t="s">
        <v>34</v>
      </c>
      <c r="J270" s="4" t="s">
        <v>34</v>
      </c>
      <c r="K270" s="4" t="s">
        <v>34</v>
      </c>
      <c r="L270" s="4" t="s">
        <v>34</v>
      </c>
      <c r="M270" s="4" t="s">
        <v>34</v>
      </c>
      <c r="N270" s="4" t="s">
        <v>34</v>
      </c>
      <c r="O270" s="4" t="s">
        <v>34</v>
      </c>
      <c r="P270" s="4" t="s">
        <v>35</v>
      </c>
      <c r="Q270" s="4" t="s">
        <v>36</v>
      </c>
      <c r="R270" s="5" t="s">
        <v>124</v>
      </c>
    </row>
    <row r="271" spans="1:18" x14ac:dyDescent="0.3">
      <c r="A271" t="s">
        <v>174</v>
      </c>
      <c r="B271" t="s">
        <v>4</v>
      </c>
      <c r="C271" t="s">
        <v>24</v>
      </c>
      <c r="D271">
        <v>28</v>
      </c>
      <c r="E271">
        <v>1</v>
      </c>
      <c r="F271" t="s">
        <v>37</v>
      </c>
      <c r="G271" t="s">
        <v>67</v>
      </c>
      <c r="H271" t="s">
        <v>105</v>
      </c>
      <c r="I271" t="s">
        <v>41</v>
      </c>
      <c r="J271" t="s">
        <v>41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35</v>
      </c>
      <c r="Q271" t="s">
        <v>36</v>
      </c>
      <c r="R271" s="1" t="s">
        <v>38</v>
      </c>
    </row>
    <row r="272" spans="1:18" x14ac:dyDescent="0.3">
      <c r="A272" s="4" t="s">
        <v>174</v>
      </c>
      <c r="B272" s="4" t="s">
        <v>4</v>
      </c>
      <c r="C272" s="4" t="s">
        <v>24</v>
      </c>
      <c r="D272" s="4">
        <v>33</v>
      </c>
      <c r="E272" s="4">
        <v>1</v>
      </c>
      <c r="F272" s="4" t="s">
        <v>37</v>
      </c>
      <c r="G272" s="4" t="s">
        <v>67</v>
      </c>
      <c r="H272" s="4" t="s">
        <v>33</v>
      </c>
      <c r="I272" s="4" t="s">
        <v>34</v>
      </c>
      <c r="J272" s="4" t="s">
        <v>34</v>
      </c>
      <c r="K272" s="4" t="s">
        <v>34</v>
      </c>
      <c r="L272" s="4" t="s">
        <v>34</v>
      </c>
      <c r="M272" s="4" t="s">
        <v>34</v>
      </c>
      <c r="N272" s="4" t="s">
        <v>34</v>
      </c>
      <c r="O272" s="4" t="s">
        <v>34</v>
      </c>
      <c r="P272" s="4" t="s">
        <v>49</v>
      </c>
      <c r="Q272" s="4" t="s">
        <v>36</v>
      </c>
      <c r="R272" s="5" t="s">
        <v>38</v>
      </c>
    </row>
    <row r="273" spans="1:18" x14ac:dyDescent="0.3">
      <c r="A273" t="s">
        <v>174</v>
      </c>
      <c r="B273" t="s">
        <v>4</v>
      </c>
      <c r="C273" t="s">
        <v>24</v>
      </c>
      <c r="D273">
        <v>36</v>
      </c>
      <c r="E273">
        <v>1</v>
      </c>
      <c r="F273" t="s">
        <v>37</v>
      </c>
      <c r="G273" t="s">
        <v>67</v>
      </c>
      <c r="H273" t="s">
        <v>112</v>
      </c>
      <c r="I273" t="s">
        <v>34</v>
      </c>
      <c r="J273" t="s">
        <v>41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49</v>
      </c>
      <c r="Q273" t="s">
        <v>36</v>
      </c>
      <c r="R273" s="1" t="s">
        <v>161</v>
      </c>
    </row>
    <row r="274" spans="1:18" x14ac:dyDescent="0.3">
      <c r="A274" s="4" t="s">
        <v>174</v>
      </c>
      <c r="B274" s="4" t="s">
        <v>4</v>
      </c>
      <c r="C274" s="4" t="s">
        <v>24</v>
      </c>
      <c r="D274" s="4">
        <v>46</v>
      </c>
      <c r="E274" s="4">
        <v>1</v>
      </c>
      <c r="F274" s="4" t="s">
        <v>42</v>
      </c>
      <c r="G274" s="4" t="s">
        <v>46</v>
      </c>
      <c r="H274" s="4" t="s">
        <v>40</v>
      </c>
      <c r="I274" s="4" t="s">
        <v>34</v>
      </c>
      <c r="J274" s="4" t="s">
        <v>41</v>
      </c>
      <c r="K274" s="4" t="s">
        <v>34</v>
      </c>
      <c r="L274" s="4" t="s">
        <v>34</v>
      </c>
      <c r="M274" s="4" t="s">
        <v>34</v>
      </c>
      <c r="N274" s="4" t="s">
        <v>34</v>
      </c>
      <c r="O274" s="4" t="s">
        <v>34</v>
      </c>
      <c r="P274" s="4" t="s">
        <v>49</v>
      </c>
      <c r="Q274" s="4" t="s">
        <v>36</v>
      </c>
      <c r="R274" s="5" t="s">
        <v>38</v>
      </c>
    </row>
    <row r="275" spans="1:18" x14ac:dyDescent="0.3">
      <c r="A275" t="s">
        <v>174</v>
      </c>
      <c r="B275" t="s">
        <v>4</v>
      </c>
      <c r="C275" t="s">
        <v>24</v>
      </c>
      <c r="D275">
        <v>47</v>
      </c>
      <c r="E275">
        <v>3</v>
      </c>
      <c r="F275" t="s">
        <v>58</v>
      </c>
      <c r="G275" t="s">
        <v>46</v>
      </c>
      <c r="H275" t="s">
        <v>61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35</v>
      </c>
      <c r="Q275" t="s">
        <v>36</v>
      </c>
      <c r="R275" s="1" t="s">
        <v>38</v>
      </c>
    </row>
    <row r="276" spans="1:18" x14ac:dyDescent="0.3">
      <c r="A276" s="4" t="s">
        <v>174</v>
      </c>
      <c r="B276" s="4" t="s">
        <v>4</v>
      </c>
      <c r="C276" s="4" t="s">
        <v>24</v>
      </c>
      <c r="D276" s="4">
        <v>49</v>
      </c>
      <c r="E276" s="4">
        <v>2</v>
      </c>
      <c r="F276" s="4" t="s">
        <v>37</v>
      </c>
      <c r="G276" s="4" t="s">
        <v>149</v>
      </c>
      <c r="H276" s="4" t="s">
        <v>61</v>
      </c>
      <c r="I276" s="4" t="s">
        <v>34</v>
      </c>
      <c r="J276" s="4" t="s">
        <v>41</v>
      </c>
      <c r="K276" s="4" t="s">
        <v>34</v>
      </c>
      <c r="L276" s="4" t="s">
        <v>34</v>
      </c>
      <c r="M276" s="4" t="s">
        <v>34</v>
      </c>
      <c r="N276" s="4" t="s">
        <v>34</v>
      </c>
      <c r="O276" s="4" t="s">
        <v>34</v>
      </c>
      <c r="P276" s="4" t="s">
        <v>35</v>
      </c>
      <c r="Q276" s="4" t="s">
        <v>36</v>
      </c>
      <c r="R276" s="5" t="s">
        <v>38</v>
      </c>
    </row>
    <row r="277" spans="1:18" x14ac:dyDescent="0.3">
      <c r="A277" t="s">
        <v>174</v>
      </c>
      <c r="B277" t="s">
        <v>4</v>
      </c>
      <c r="C277" t="s">
        <v>24</v>
      </c>
      <c r="D277">
        <v>51</v>
      </c>
      <c r="E277">
        <v>3</v>
      </c>
      <c r="F277" t="s">
        <v>37</v>
      </c>
      <c r="G277" t="s">
        <v>46</v>
      </c>
      <c r="H277" t="s">
        <v>33</v>
      </c>
      <c r="I277" t="s">
        <v>34</v>
      </c>
      <c r="J277" t="s">
        <v>41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35</v>
      </c>
      <c r="Q277" t="s">
        <v>36</v>
      </c>
      <c r="R277" s="1" t="s">
        <v>38</v>
      </c>
    </row>
    <row r="278" spans="1:18" x14ac:dyDescent="0.3">
      <c r="A278" s="4" t="s">
        <v>174</v>
      </c>
      <c r="B278" s="4" t="s">
        <v>4</v>
      </c>
      <c r="C278" s="4" t="s">
        <v>24</v>
      </c>
      <c r="D278" s="4">
        <v>62</v>
      </c>
      <c r="E278" s="4">
        <v>1</v>
      </c>
      <c r="F278" s="4" t="s">
        <v>42</v>
      </c>
      <c r="G278" s="4" t="s">
        <v>67</v>
      </c>
      <c r="H278" s="4" t="s">
        <v>40</v>
      </c>
      <c r="I278" s="4" t="s">
        <v>34</v>
      </c>
      <c r="J278" s="4" t="s">
        <v>41</v>
      </c>
      <c r="K278" s="4" t="s">
        <v>34</v>
      </c>
      <c r="L278" s="4" t="s">
        <v>34</v>
      </c>
      <c r="M278" s="4" t="s">
        <v>34</v>
      </c>
      <c r="N278" s="4" t="s">
        <v>34</v>
      </c>
      <c r="O278" s="4" t="s">
        <v>34</v>
      </c>
      <c r="P278" s="4" t="s">
        <v>49</v>
      </c>
      <c r="Q278" s="4" t="s">
        <v>36</v>
      </c>
      <c r="R278" s="5" t="s">
        <v>161</v>
      </c>
    </row>
    <row r="279" spans="1:18" x14ac:dyDescent="0.3">
      <c r="A279" t="s">
        <v>174</v>
      </c>
      <c r="B279" t="s">
        <v>4</v>
      </c>
      <c r="C279" t="s">
        <v>24</v>
      </c>
      <c r="D279">
        <v>65</v>
      </c>
      <c r="E279">
        <v>1</v>
      </c>
      <c r="F279" t="s">
        <v>37</v>
      </c>
      <c r="G279" t="s">
        <v>108</v>
      </c>
      <c r="H279" t="s">
        <v>33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35</v>
      </c>
      <c r="Q279" t="s">
        <v>36</v>
      </c>
      <c r="R279" s="1" t="s">
        <v>91</v>
      </c>
    </row>
    <row r="280" spans="1:18" x14ac:dyDescent="0.3">
      <c r="A280" s="4" t="s">
        <v>174</v>
      </c>
      <c r="B280" s="4" t="s">
        <v>4</v>
      </c>
      <c r="C280" s="4" t="s">
        <v>24</v>
      </c>
      <c r="D280" s="4">
        <v>66</v>
      </c>
      <c r="E280" s="4">
        <v>3</v>
      </c>
      <c r="F280" s="4" t="s">
        <v>37</v>
      </c>
      <c r="G280" s="4" t="s">
        <v>108</v>
      </c>
      <c r="H280" s="4" t="s">
        <v>61</v>
      </c>
      <c r="I280" s="4" t="s">
        <v>34</v>
      </c>
      <c r="J280" s="4" t="s">
        <v>34</v>
      </c>
      <c r="K280" s="4" t="s">
        <v>34</v>
      </c>
      <c r="L280" s="4" t="s">
        <v>34</v>
      </c>
      <c r="M280" s="4" t="s">
        <v>34</v>
      </c>
      <c r="N280" s="4" t="s">
        <v>34</v>
      </c>
      <c r="O280" s="4" t="s">
        <v>34</v>
      </c>
      <c r="P280" s="4" t="s">
        <v>35</v>
      </c>
      <c r="Q280" s="4" t="s">
        <v>36</v>
      </c>
      <c r="R280" s="5" t="s">
        <v>38</v>
      </c>
    </row>
    <row r="281" spans="1:18" x14ac:dyDescent="0.3">
      <c r="A281" t="s">
        <v>174</v>
      </c>
      <c r="B281" t="s">
        <v>4</v>
      </c>
      <c r="C281" t="s">
        <v>24</v>
      </c>
      <c r="D281">
        <v>72</v>
      </c>
      <c r="E281">
        <v>1</v>
      </c>
      <c r="F281" t="s">
        <v>37</v>
      </c>
      <c r="G281" t="s">
        <v>67</v>
      </c>
      <c r="H281" t="s">
        <v>33</v>
      </c>
      <c r="I281" t="s">
        <v>34</v>
      </c>
      <c r="J281" t="s">
        <v>41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35</v>
      </c>
      <c r="Q281" t="s">
        <v>36</v>
      </c>
      <c r="R281" s="1" t="s">
        <v>184</v>
      </c>
    </row>
    <row r="282" spans="1:18" x14ac:dyDescent="0.3">
      <c r="A282" s="4" t="s">
        <v>174</v>
      </c>
      <c r="B282" s="4" t="s">
        <v>4</v>
      </c>
      <c r="C282" s="4" t="s">
        <v>24</v>
      </c>
      <c r="D282" s="4">
        <v>79</v>
      </c>
      <c r="E282" s="4">
        <v>3</v>
      </c>
      <c r="F282" s="4" t="s">
        <v>37</v>
      </c>
      <c r="G282" s="4" t="s">
        <v>46</v>
      </c>
      <c r="H282" s="4" t="s">
        <v>55</v>
      </c>
      <c r="I282" s="4" t="s">
        <v>34</v>
      </c>
      <c r="J282" s="4" t="s">
        <v>34</v>
      </c>
      <c r="K282" s="4" t="s">
        <v>34</v>
      </c>
      <c r="L282" s="4" t="s">
        <v>34</v>
      </c>
      <c r="M282" s="4" t="s">
        <v>34</v>
      </c>
      <c r="N282" s="4" t="s">
        <v>34</v>
      </c>
      <c r="O282" s="4" t="s">
        <v>34</v>
      </c>
      <c r="P282" s="4" t="s">
        <v>35</v>
      </c>
      <c r="Q282" s="4" t="s">
        <v>36</v>
      </c>
      <c r="R282" s="5" t="s">
        <v>91</v>
      </c>
    </row>
    <row r="283" spans="1:18" x14ac:dyDescent="0.3">
      <c r="A283" t="s">
        <v>174</v>
      </c>
      <c r="B283" t="s">
        <v>4</v>
      </c>
      <c r="C283" t="s">
        <v>24</v>
      </c>
      <c r="D283">
        <v>86</v>
      </c>
      <c r="E283">
        <v>1</v>
      </c>
      <c r="F283" t="s">
        <v>37</v>
      </c>
      <c r="G283" t="s">
        <v>46</v>
      </c>
      <c r="H283" t="s">
        <v>33</v>
      </c>
      <c r="I283" t="s">
        <v>41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35</v>
      </c>
      <c r="Q283" t="s">
        <v>36</v>
      </c>
      <c r="R283" s="1" t="s">
        <v>91</v>
      </c>
    </row>
    <row r="284" spans="1:18" x14ac:dyDescent="0.3">
      <c r="A284" s="4" t="s">
        <v>174</v>
      </c>
      <c r="B284" s="4" t="s">
        <v>4</v>
      </c>
      <c r="C284" s="4" t="s">
        <v>24</v>
      </c>
      <c r="D284" s="4">
        <v>90</v>
      </c>
      <c r="E284" s="4">
        <v>1</v>
      </c>
      <c r="F284" s="4" t="s">
        <v>37</v>
      </c>
      <c r="G284" s="4" t="s">
        <v>46</v>
      </c>
      <c r="H284" s="4" t="s">
        <v>112</v>
      </c>
      <c r="I284" s="4" t="s">
        <v>34</v>
      </c>
      <c r="J284" s="4" t="s">
        <v>34</v>
      </c>
      <c r="K284" s="4" t="s">
        <v>34</v>
      </c>
      <c r="L284" s="4" t="s">
        <v>34</v>
      </c>
      <c r="M284" s="4" t="s">
        <v>34</v>
      </c>
      <c r="N284" s="4" t="s">
        <v>41</v>
      </c>
      <c r="O284" s="4" t="s">
        <v>34</v>
      </c>
      <c r="P284" s="4" t="s">
        <v>49</v>
      </c>
      <c r="Q284" s="4" t="s">
        <v>36</v>
      </c>
      <c r="R284" s="5" t="s">
        <v>38</v>
      </c>
    </row>
    <row r="285" spans="1:18" x14ac:dyDescent="0.3">
      <c r="A285" t="s">
        <v>174</v>
      </c>
      <c r="B285" t="s">
        <v>4</v>
      </c>
      <c r="C285" t="s">
        <v>24</v>
      </c>
      <c r="D285">
        <v>107</v>
      </c>
      <c r="E285">
        <v>1</v>
      </c>
      <c r="F285" t="s">
        <v>42</v>
      </c>
      <c r="G285" t="s">
        <v>46</v>
      </c>
      <c r="H285" t="s">
        <v>40</v>
      </c>
      <c r="I285" t="s">
        <v>34</v>
      </c>
      <c r="J285" t="s">
        <v>34</v>
      </c>
      <c r="K285" t="s">
        <v>41</v>
      </c>
      <c r="L285" t="s">
        <v>41</v>
      </c>
      <c r="M285" t="s">
        <v>34</v>
      </c>
      <c r="N285" t="s">
        <v>34</v>
      </c>
      <c r="O285" t="s">
        <v>34</v>
      </c>
      <c r="P285" t="s">
        <v>49</v>
      </c>
      <c r="Q285" t="s">
        <v>36</v>
      </c>
      <c r="R285" s="1" t="s">
        <v>38</v>
      </c>
    </row>
    <row r="286" spans="1:18" x14ac:dyDescent="0.3">
      <c r="A286" s="4" t="s">
        <v>174</v>
      </c>
      <c r="B286" s="4" t="s">
        <v>4</v>
      </c>
      <c r="C286" s="4" t="s">
        <v>24</v>
      </c>
      <c r="D286" s="4">
        <v>114</v>
      </c>
      <c r="E286" s="4">
        <v>3</v>
      </c>
      <c r="F286" s="4" t="s">
        <v>42</v>
      </c>
      <c r="G286" s="4" t="s">
        <v>46</v>
      </c>
      <c r="H286" s="4" t="s">
        <v>40</v>
      </c>
      <c r="I286" s="4" t="s">
        <v>34</v>
      </c>
      <c r="J286" s="4" t="s">
        <v>34</v>
      </c>
      <c r="K286" s="4" t="s">
        <v>34</v>
      </c>
      <c r="L286" s="4" t="s">
        <v>34</v>
      </c>
      <c r="M286" s="4" t="s">
        <v>41</v>
      </c>
      <c r="N286" s="4" t="s">
        <v>34</v>
      </c>
      <c r="O286" s="4" t="s">
        <v>34</v>
      </c>
      <c r="P286" s="4" t="s">
        <v>49</v>
      </c>
      <c r="Q286" s="4" t="s">
        <v>56</v>
      </c>
      <c r="R286" s="5" t="s">
        <v>38</v>
      </c>
    </row>
    <row r="287" spans="1:18" x14ac:dyDescent="0.3">
      <c r="A287" t="s">
        <v>174</v>
      </c>
      <c r="B287" t="s">
        <v>4</v>
      </c>
      <c r="C287" t="s">
        <v>24</v>
      </c>
      <c r="D287">
        <v>121</v>
      </c>
      <c r="E287">
        <v>4</v>
      </c>
      <c r="F287" t="s">
        <v>37</v>
      </c>
      <c r="G287" t="s">
        <v>108</v>
      </c>
      <c r="H287" t="s">
        <v>130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35</v>
      </c>
      <c r="Q287" t="s">
        <v>56</v>
      </c>
      <c r="R287" s="1" t="s">
        <v>38</v>
      </c>
    </row>
    <row r="288" spans="1:18" x14ac:dyDescent="0.3">
      <c r="A288" s="4" t="s">
        <v>174</v>
      </c>
      <c r="B288" s="4" t="s">
        <v>4</v>
      </c>
      <c r="C288" s="4" t="s">
        <v>24</v>
      </c>
      <c r="D288" s="4">
        <v>122</v>
      </c>
      <c r="E288" s="4">
        <v>4</v>
      </c>
      <c r="F288" s="4" t="s">
        <v>37</v>
      </c>
      <c r="G288" s="4" t="s">
        <v>46</v>
      </c>
      <c r="H288" s="4" t="s">
        <v>112</v>
      </c>
      <c r="I288" s="4" t="s">
        <v>34</v>
      </c>
      <c r="J288" s="4" t="s">
        <v>41</v>
      </c>
      <c r="K288" s="4" t="s">
        <v>34</v>
      </c>
      <c r="L288" s="4" t="s">
        <v>34</v>
      </c>
      <c r="M288" s="4" t="s">
        <v>34</v>
      </c>
      <c r="N288" s="4" t="s">
        <v>34</v>
      </c>
      <c r="O288" s="4" t="s">
        <v>34</v>
      </c>
      <c r="P288" s="4" t="s">
        <v>35</v>
      </c>
      <c r="Q288" s="4" t="s">
        <v>56</v>
      </c>
      <c r="R288" s="5" t="s">
        <v>38</v>
      </c>
    </row>
    <row r="289" spans="1:18" x14ac:dyDescent="0.3">
      <c r="A289" t="s">
        <v>174</v>
      </c>
      <c r="B289" t="s">
        <v>4</v>
      </c>
      <c r="C289" t="s">
        <v>24</v>
      </c>
      <c r="D289">
        <v>125</v>
      </c>
      <c r="E289">
        <v>4</v>
      </c>
      <c r="F289" t="s">
        <v>129</v>
      </c>
      <c r="G289" t="s">
        <v>46</v>
      </c>
      <c r="H289" t="s">
        <v>185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35</v>
      </c>
      <c r="Q289" t="s">
        <v>56</v>
      </c>
      <c r="R289" s="1" t="s">
        <v>38</v>
      </c>
    </row>
    <row r="290" spans="1:18" x14ac:dyDescent="0.3">
      <c r="A290" s="4" t="s">
        <v>174</v>
      </c>
      <c r="B290" s="4" t="s">
        <v>4</v>
      </c>
      <c r="C290" s="4" t="s">
        <v>24</v>
      </c>
      <c r="D290" s="4">
        <v>134</v>
      </c>
      <c r="E290" s="4">
        <v>3</v>
      </c>
      <c r="F290" s="4" t="s">
        <v>42</v>
      </c>
      <c r="G290" s="4" t="s">
        <v>46</v>
      </c>
      <c r="H290" s="4" t="s">
        <v>40</v>
      </c>
      <c r="I290" s="4" t="s">
        <v>34</v>
      </c>
      <c r="J290" s="4" t="s">
        <v>41</v>
      </c>
      <c r="K290" s="4" t="s">
        <v>34</v>
      </c>
      <c r="L290" s="4" t="s">
        <v>34</v>
      </c>
      <c r="M290" s="4" t="s">
        <v>34</v>
      </c>
      <c r="N290" s="4" t="s">
        <v>34</v>
      </c>
      <c r="O290" s="4" t="s">
        <v>34</v>
      </c>
      <c r="P290" s="4" t="s">
        <v>35</v>
      </c>
      <c r="Q290" s="4" t="s">
        <v>56</v>
      </c>
      <c r="R290" s="5" t="s">
        <v>38</v>
      </c>
    </row>
    <row r="291" spans="1:18" x14ac:dyDescent="0.3">
      <c r="A291" t="s">
        <v>174</v>
      </c>
      <c r="B291" t="s">
        <v>4</v>
      </c>
      <c r="C291" t="s">
        <v>24</v>
      </c>
      <c r="D291">
        <v>148</v>
      </c>
      <c r="E291">
        <v>1</v>
      </c>
      <c r="F291" t="s">
        <v>42</v>
      </c>
      <c r="G291" t="s">
        <v>67</v>
      </c>
      <c r="H291" t="s">
        <v>142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49</v>
      </c>
      <c r="Q291" t="s">
        <v>56</v>
      </c>
      <c r="R291" s="1" t="s">
        <v>43</v>
      </c>
    </row>
    <row r="292" spans="1:18" x14ac:dyDescent="0.3">
      <c r="A292" s="4" t="s">
        <v>174</v>
      </c>
      <c r="B292" s="4" t="s">
        <v>4</v>
      </c>
      <c r="C292" s="4" t="s">
        <v>24</v>
      </c>
      <c r="D292" s="4">
        <v>165</v>
      </c>
      <c r="E292" s="4">
        <v>1</v>
      </c>
      <c r="F292" s="4" t="s">
        <v>129</v>
      </c>
      <c r="G292" s="4" t="s">
        <v>67</v>
      </c>
      <c r="H292" s="4" t="s">
        <v>50</v>
      </c>
      <c r="I292" s="4" t="s">
        <v>34</v>
      </c>
      <c r="J292" s="4" t="s">
        <v>34</v>
      </c>
      <c r="K292" s="4" t="s">
        <v>34</v>
      </c>
      <c r="L292" s="4" t="s">
        <v>34</v>
      </c>
      <c r="M292" s="4" t="s">
        <v>34</v>
      </c>
      <c r="N292" s="4" t="s">
        <v>34</v>
      </c>
      <c r="O292" s="4" t="s">
        <v>34</v>
      </c>
      <c r="P292" s="4" t="s">
        <v>49</v>
      </c>
      <c r="Q292" s="4" t="s">
        <v>56</v>
      </c>
      <c r="R292" s="5" t="s">
        <v>38</v>
      </c>
    </row>
    <row r="293" spans="1:18" x14ac:dyDescent="0.3">
      <c r="A293" t="s">
        <v>174</v>
      </c>
      <c r="B293" t="s">
        <v>4</v>
      </c>
      <c r="C293" t="s">
        <v>24</v>
      </c>
      <c r="D293">
        <v>172</v>
      </c>
      <c r="E293">
        <v>1</v>
      </c>
      <c r="F293" t="s">
        <v>42</v>
      </c>
      <c r="G293" t="s">
        <v>67</v>
      </c>
      <c r="H293" t="s">
        <v>40</v>
      </c>
      <c r="I293" t="s">
        <v>34</v>
      </c>
      <c r="J293" t="s">
        <v>34</v>
      </c>
      <c r="K293" t="s">
        <v>41</v>
      </c>
      <c r="L293" t="s">
        <v>34</v>
      </c>
      <c r="M293" t="s">
        <v>34</v>
      </c>
      <c r="N293" t="s">
        <v>34</v>
      </c>
      <c r="O293" t="s">
        <v>34</v>
      </c>
      <c r="P293" t="s">
        <v>49</v>
      </c>
      <c r="Q293" t="s">
        <v>56</v>
      </c>
      <c r="R293" s="1" t="s">
        <v>43</v>
      </c>
    </row>
    <row r="294" spans="1:18" x14ac:dyDescent="0.3">
      <c r="A294" s="4" t="s">
        <v>174</v>
      </c>
      <c r="B294" s="4" t="s">
        <v>4</v>
      </c>
      <c r="C294" s="4" t="s">
        <v>24</v>
      </c>
      <c r="D294" s="4">
        <v>181</v>
      </c>
      <c r="E294" s="4">
        <v>1</v>
      </c>
      <c r="F294" s="4" t="s">
        <v>37</v>
      </c>
      <c r="G294" s="4" t="s">
        <v>32</v>
      </c>
      <c r="H294" s="4" t="s">
        <v>119</v>
      </c>
      <c r="I294" s="4" t="s">
        <v>34</v>
      </c>
      <c r="J294" s="4" t="s">
        <v>41</v>
      </c>
      <c r="K294" s="4" t="s">
        <v>34</v>
      </c>
      <c r="L294" s="4" t="s">
        <v>34</v>
      </c>
      <c r="M294" s="4" t="s">
        <v>34</v>
      </c>
      <c r="N294" s="4" t="s">
        <v>34</v>
      </c>
      <c r="O294" s="4" t="s">
        <v>34</v>
      </c>
      <c r="P294" s="4" t="s">
        <v>35</v>
      </c>
      <c r="Q294" s="4" t="s">
        <v>36</v>
      </c>
      <c r="R294" s="5" t="s">
        <v>38</v>
      </c>
    </row>
    <row r="295" spans="1:18" x14ac:dyDescent="0.3">
      <c r="A295" t="s">
        <v>174</v>
      </c>
      <c r="B295" t="s">
        <v>4</v>
      </c>
      <c r="C295" t="s">
        <v>24</v>
      </c>
      <c r="D295">
        <v>183</v>
      </c>
      <c r="E295">
        <v>3</v>
      </c>
      <c r="F295" t="s">
        <v>42</v>
      </c>
      <c r="G295" t="s">
        <v>32</v>
      </c>
      <c r="H295" t="s">
        <v>40</v>
      </c>
      <c r="I295" t="s">
        <v>34</v>
      </c>
      <c r="J295" t="s">
        <v>41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35</v>
      </c>
      <c r="Q295" t="s">
        <v>36</v>
      </c>
      <c r="R295" s="1" t="s">
        <v>38</v>
      </c>
    </row>
    <row r="296" spans="1:18" x14ac:dyDescent="0.3">
      <c r="A296" s="4" t="s">
        <v>174</v>
      </c>
      <c r="B296" s="4" t="s">
        <v>4</v>
      </c>
      <c r="C296" s="4" t="s">
        <v>24</v>
      </c>
      <c r="D296" s="4">
        <v>194</v>
      </c>
      <c r="E296" s="4">
        <v>1</v>
      </c>
      <c r="F296" s="4" t="s">
        <v>42</v>
      </c>
      <c r="G296" s="4" t="s">
        <v>67</v>
      </c>
      <c r="H296" s="4" t="s">
        <v>50</v>
      </c>
      <c r="I296" s="4" t="s">
        <v>34</v>
      </c>
      <c r="J296" s="4" t="s">
        <v>34</v>
      </c>
      <c r="K296" s="4" t="s">
        <v>34</v>
      </c>
      <c r="L296" s="4" t="s">
        <v>34</v>
      </c>
      <c r="M296" s="4" t="s">
        <v>34</v>
      </c>
      <c r="N296" s="4" t="s">
        <v>34</v>
      </c>
      <c r="O296" s="4" t="s">
        <v>34</v>
      </c>
      <c r="P296" s="4" t="s">
        <v>49</v>
      </c>
      <c r="Q296" s="4" t="s">
        <v>36</v>
      </c>
      <c r="R296" s="5" t="s">
        <v>38</v>
      </c>
    </row>
    <row r="297" spans="1:18" x14ac:dyDescent="0.3">
      <c r="A297" t="s">
        <v>174</v>
      </c>
      <c r="B297" t="s">
        <v>4</v>
      </c>
      <c r="C297" t="s">
        <v>24</v>
      </c>
      <c r="D297">
        <v>196</v>
      </c>
      <c r="E297">
        <v>1</v>
      </c>
      <c r="F297" t="s">
        <v>129</v>
      </c>
      <c r="G297" t="s">
        <v>67</v>
      </c>
      <c r="H297" t="s">
        <v>186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49</v>
      </c>
      <c r="Q297" t="s">
        <v>36</v>
      </c>
      <c r="R297" s="1" t="s">
        <v>161</v>
      </c>
    </row>
    <row r="298" spans="1:18" x14ac:dyDescent="0.3">
      <c r="A298" s="4" t="s">
        <v>174</v>
      </c>
      <c r="B298" s="4" t="s">
        <v>4</v>
      </c>
      <c r="C298" s="4" t="s">
        <v>24</v>
      </c>
      <c r="D298" s="4">
        <v>198</v>
      </c>
      <c r="E298" s="4">
        <v>1</v>
      </c>
      <c r="F298" s="4" t="s">
        <v>42</v>
      </c>
      <c r="G298" s="4" t="s">
        <v>67</v>
      </c>
      <c r="H298" s="4" t="s">
        <v>40</v>
      </c>
      <c r="I298" s="4" t="s">
        <v>34</v>
      </c>
      <c r="J298" s="4" t="s">
        <v>34</v>
      </c>
      <c r="K298" s="4" t="s">
        <v>41</v>
      </c>
      <c r="L298" s="4" t="s">
        <v>34</v>
      </c>
      <c r="M298" s="4" t="s">
        <v>34</v>
      </c>
      <c r="N298" s="4" t="s">
        <v>34</v>
      </c>
      <c r="O298" s="4" t="s">
        <v>34</v>
      </c>
      <c r="P298" s="4" t="s">
        <v>49</v>
      </c>
      <c r="Q298" s="4" t="s">
        <v>36</v>
      </c>
      <c r="R298" s="5" t="s">
        <v>116</v>
      </c>
    </row>
    <row r="299" spans="1:18" x14ac:dyDescent="0.3">
      <c r="A299" t="s">
        <v>188</v>
      </c>
      <c r="B299" t="s">
        <v>189</v>
      </c>
      <c r="C299" t="s">
        <v>187</v>
      </c>
      <c r="D299">
        <v>4</v>
      </c>
      <c r="E299">
        <v>1</v>
      </c>
      <c r="F299" t="s">
        <v>153</v>
      </c>
      <c r="G299" t="s">
        <v>149</v>
      </c>
      <c r="H299" t="s">
        <v>153</v>
      </c>
      <c r="I299" t="s">
        <v>34</v>
      </c>
      <c r="J299" t="s">
        <v>34</v>
      </c>
      <c r="K299" t="s">
        <v>41</v>
      </c>
      <c r="L299" t="s">
        <v>34</v>
      </c>
      <c r="M299" t="s">
        <v>34</v>
      </c>
      <c r="N299" t="s">
        <v>34</v>
      </c>
      <c r="O299" t="s">
        <v>34</v>
      </c>
      <c r="P299" t="s">
        <v>49</v>
      </c>
      <c r="Q299" t="s">
        <v>56</v>
      </c>
      <c r="R299" s="1" t="s">
        <v>54</v>
      </c>
    </row>
    <row r="300" spans="1:18" x14ac:dyDescent="0.3">
      <c r="A300" s="4" t="s">
        <v>188</v>
      </c>
      <c r="B300" s="4" t="s">
        <v>189</v>
      </c>
      <c r="C300" s="4" t="s">
        <v>187</v>
      </c>
      <c r="D300" s="4">
        <v>8</v>
      </c>
      <c r="E300" s="4">
        <v>3</v>
      </c>
      <c r="F300" s="4" t="s">
        <v>37</v>
      </c>
      <c r="G300" s="4" t="s">
        <v>149</v>
      </c>
      <c r="H300" s="4" t="s">
        <v>61</v>
      </c>
      <c r="I300" s="4" t="s">
        <v>34</v>
      </c>
      <c r="J300" s="4" t="s">
        <v>34</v>
      </c>
      <c r="K300" s="4" t="s">
        <v>34</v>
      </c>
      <c r="L300" s="4" t="s">
        <v>34</v>
      </c>
      <c r="M300" s="4" t="s">
        <v>34</v>
      </c>
      <c r="N300" s="4" t="s">
        <v>34</v>
      </c>
      <c r="O300" s="4" t="s">
        <v>34</v>
      </c>
      <c r="P300" s="4" t="s">
        <v>35</v>
      </c>
      <c r="Q300" s="4" t="s">
        <v>56</v>
      </c>
      <c r="R300" s="5" t="s">
        <v>43</v>
      </c>
    </row>
    <row r="301" spans="1:18" x14ac:dyDescent="0.3">
      <c r="A301" t="s">
        <v>188</v>
      </c>
      <c r="B301" t="s">
        <v>189</v>
      </c>
      <c r="C301" t="s">
        <v>187</v>
      </c>
      <c r="D301">
        <v>15</v>
      </c>
      <c r="E301">
        <v>1</v>
      </c>
      <c r="F301" t="s">
        <v>58</v>
      </c>
      <c r="G301" t="s">
        <v>149</v>
      </c>
      <c r="H301" t="s">
        <v>33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35</v>
      </c>
      <c r="Q301" t="s">
        <v>56</v>
      </c>
      <c r="R301" s="1" t="s">
        <v>161</v>
      </c>
    </row>
    <row r="302" spans="1:18" x14ac:dyDescent="0.3">
      <c r="A302" s="4" t="s">
        <v>188</v>
      </c>
      <c r="B302" s="4" t="s">
        <v>189</v>
      </c>
      <c r="C302" s="4" t="s">
        <v>187</v>
      </c>
      <c r="D302" s="4">
        <v>19</v>
      </c>
      <c r="E302" s="4">
        <v>1</v>
      </c>
      <c r="F302" s="4" t="s">
        <v>37</v>
      </c>
      <c r="G302" s="4" t="s">
        <v>108</v>
      </c>
      <c r="H302" s="4" t="s">
        <v>33</v>
      </c>
      <c r="I302" s="4" t="s">
        <v>34</v>
      </c>
      <c r="J302" s="4" t="s">
        <v>41</v>
      </c>
      <c r="K302" s="4" t="s">
        <v>34</v>
      </c>
      <c r="L302" s="4" t="s">
        <v>34</v>
      </c>
      <c r="M302" s="4" t="s">
        <v>34</v>
      </c>
      <c r="N302" s="4" t="s">
        <v>34</v>
      </c>
      <c r="O302" s="4" t="s">
        <v>34</v>
      </c>
      <c r="P302" s="4" t="s">
        <v>35</v>
      </c>
      <c r="Q302" s="4" t="s">
        <v>56</v>
      </c>
      <c r="R302" s="5" t="s">
        <v>47</v>
      </c>
    </row>
    <row r="303" spans="1:18" x14ac:dyDescent="0.3">
      <c r="A303" t="s">
        <v>188</v>
      </c>
      <c r="B303" t="s">
        <v>189</v>
      </c>
      <c r="C303" t="s">
        <v>187</v>
      </c>
      <c r="D303">
        <v>29</v>
      </c>
      <c r="E303">
        <v>1</v>
      </c>
      <c r="F303" t="s">
        <v>42</v>
      </c>
      <c r="G303" t="s">
        <v>108</v>
      </c>
      <c r="H303" t="s">
        <v>160</v>
      </c>
      <c r="I303" t="s">
        <v>34</v>
      </c>
      <c r="J303" t="s">
        <v>41</v>
      </c>
      <c r="K303" t="s">
        <v>34</v>
      </c>
      <c r="L303" t="s">
        <v>41</v>
      </c>
      <c r="M303" t="s">
        <v>34</v>
      </c>
      <c r="N303" t="s">
        <v>34</v>
      </c>
      <c r="O303" t="s">
        <v>34</v>
      </c>
      <c r="P303" t="s">
        <v>35</v>
      </c>
      <c r="Q303" t="s">
        <v>56</v>
      </c>
      <c r="R303" s="1" t="s">
        <v>54</v>
      </c>
    </row>
    <row r="304" spans="1:18" x14ac:dyDescent="0.3">
      <c r="A304" s="4" t="s">
        <v>188</v>
      </c>
      <c r="B304" s="4" t="s">
        <v>189</v>
      </c>
      <c r="C304" s="4" t="s">
        <v>187</v>
      </c>
      <c r="D304" s="4">
        <v>33</v>
      </c>
      <c r="E304" s="4">
        <v>3</v>
      </c>
      <c r="F304" s="4" t="s">
        <v>37</v>
      </c>
      <c r="G304" s="4" t="s">
        <v>32</v>
      </c>
      <c r="H304" s="4" t="s">
        <v>33</v>
      </c>
      <c r="I304" s="4" t="s">
        <v>34</v>
      </c>
      <c r="J304" s="4" t="s">
        <v>34</v>
      </c>
      <c r="K304" s="4" t="s">
        <v>41</v>
      </c>
      <c r="L304" s="4" t="s">
        <v>34</v>
      </c>
      <c r="M304" s="4" t="s">
        <v>34</v>
      </c>
      <c r="N304" s="4" t="s">
        <v>34</v>
      </c>
      <c r="O304" s="4" t="s">
        <v>34</v>
      </c>
      <c r="P304" s="4" t="s">
        <v>49</v>
      </c>
      <c r="Q304" s="4" t="s">
        <v>56</v>
      </c>
      <c r="R304" s="5" t="s">
        <v>190</v>
      </c>
    </row>
    <row r="305" spans="1:18" x14ac:dyDescent="0.3">
      <c r="A305" t="s">
        <v>188</v>
      </c>
      <c r="B305" t="s">
        <v>189</v>
      </c>
      <c r="C305" t="s">
        <v>187</v>
      </c>
      <c r="D305">
        <v>38</v>
      </c>
      <c r="E305">
        <v>1</v>
      </c>
      <c r="F305" t="s">
        <v>37</v>
      </c>
      <c r="G305" t="s">
        <v>149</v>
      </c>
      <c r="H305" t="s">
        <v>61</v>
      </c>
      <c r="I305" t="s">
        <v>34</v>
      </c>
      <c r="J305" t="s">
        <v>41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35</v>
      </c>
      <c r="Q305" t="s">
        <v>56</v>
      </c>
      <c r="R305" s="1" t="s">
        <v>63</v>
      </c>
    </row>
    <row r="306" spans="1:18" x14ac:dyDescent="0.3">
      <c r="A306" s="4" t="s">
        <v>188</v>
      </c>
      <c r="B306" s="4" t="s">
        <v>189</v>
      </c>
      <c r="C306" s="4" t="s">
        <v>187</v>
      </c>
      <c r="D306" s="4">
        <v>42</v>
      </c>
      <c r="E306" s="4">
        <v>1</v>
      </c>
      <c r="F306" s="4" t="s">
        <v>42</v>
      </c>
      <c r="G306" s="4" t="s">
        <v>108</v>
      </c>
      <c r="H306" s="4" t="s">
        <v>122</v>
      </c>
      <c r="I306" s="4" t="s">
        <v>34</v>
      </c>
      <c r="J306" s="4" t="s">
        <v>34</v>
      </c>
      <c r="K306" s="4" t="s">
        <v>34</v>
      </c>
      <c r="L306" s="4" t="s">
        <v>34</v>
      </c>
      <c r="M306" s="4" t="s">
        <v>34</v>
      </c>
      <c r="N306" s="4" t="s">
        <v>34</v>
      </c>
      <c r="O306" s="4" t="s">
        <v>34</v>
      </c>
      <c r="P306" s="4" t="s">
        <v>49</v>
      </c>
      <c r="Q306" s="4" t="s">
        <v>56</v>
      </c>
      <c r="R306" s="5" t="s">
        <v>63</v>
      </c>
    </row>
    <row r="307" spans="1:18" x14ac:dyDescent="0.3">
      <c r="A307" t="s">
        <v>188</v>
      </c>
      <c r="B307" t="s">
        <v>189</v>
      </c>
      <c r="C307" t="s">
        <v>187</v>
      </c>
      <c r="D307">
        <v>44</v>
      </c>
      <c r="E307">
        <v>1</v>
      </c>
      <c r="F307" t="s">
        <v>42</v>
      </c>
      <c r="G307" t="s">
        <v>108</v>
      </c>
      <c r="H307" t="s">
        <v>185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35</v>
      </c>
      <c r="Q307" t="s">
        <v>56</v>
      </c>
      <c r="R307" s="1" t="s">
        <v>63</v>
      </c>
    </row>
    <row r="308" spans="1:18" x14ac:dyDescent="0.3">
      <c r="A308" s="4" t="s">
        <v>188</v>
      </c>
      <c r="B308" s="4" t="s">
        <v>189</v>
      </c>
      <c r="C308" s="4" t="s">
        <v>187</v>
      </c>
      <c r="D308" s="4">
        <v>45</v>
      </c>
      <c r="E308" s="4">
        <v>3</v>
      </c>
      <c r="F308" s="4" t="s">
        <v>37</v>
      </c>
      <c r="G308" s="4" t="s">
        <v>108</v>
      </c>
      <c r="H308" s="4" t="s">
        <v>33</v>
      </c>
      <c r="I308" s="4" t="s">
        <v>34</v>
      </c>
      <c r="J308" s="4" t="s">
        <v>34</v>
      </c>
      <c r="K308" s="4" t="s">
        <v>34</v>
      </c>
      <c r="L308" s="4" t="s">
        <v>34</v>
      </c>
      <c r="M308" s="4" t="s">
        <v>34</v>
      </c>
      <c r="N308" s="4" t="s">
        <v>34</v>
      </c>
      <c r="O308" s="4" t="s">
        <v>34</v>
      </c>
      <c r="P308" s="4" t="s">
        <v>35</v>
      </c>
      <c r="Q308" s="4" t="s">
        <v>56</v>
      </c>
      <c r="R308" s="5" t="s">
        <v>63</v>
      </c>
    </row>
    <row r="309" spans="1:18" x14ac:dyDescent="0.3">
      <c r="A309" t="s">
        <v>188</v>
      </c>
      <c r="B309" t="s">
        <v>189</v>
      </c>
      <c r="C309" t="s">
        <v>187</v>
      </c>
      <c r="D309">
        <v>51</v>
      </c>
      <c r="E309">
        <v>3</v>
      </c>
      <c r="F309" t="s">
        <v>37</v>
      </c>
      <c r="G309" t="s">
        <v>108</v>
      </c>
      <c r="H309" t="s">
        <v>111</v>
      </c>
      <c r="I309" t="s">
        <v>34</v>
      </c>
      <c r="J309" t="s">
        <v>41</v>
      </c>
      <c r="K309" t="s">
        <v>34</v>
      </c>
      <c r="L309" t="s">
        <v>34</v>
      </c>
      <c r="M309" t="s">
        <v>34</v>
      </c>
      <c r="N309" t="s">
        <v>41</v>
      </c>
      <c r="O309" t="s">
        <v>34</v>
      </c>
      <c r="P309" t="s">
        <v>35</v>
      </c>
      <c r="Q309" t="s">
        <v>56</v>
      </c>
      <c r="R309" s="1" t="s">
        <v>63</v>
      </c>
    </row>
    <row r="310" spans="1:18" x14ac:dyDescent="0.3">
      <c r="A310" s="4" t="s">
        <v>188</v>
      </c>
      <c r="B310" s="4" t="s">
        <v>189</v>
      </c>
      <c r="C310" s="4" t="s">
        <v>187</v>
      </c>
      <c r="D310" s="4">
        <v>54</v>
      </c>
      <c r="E310" s="4">
        <v>3</v>
      </c>
      <c r="F310" s="4" t="s">
        <v>42</v>
      </c>
      <c r="G310" s="4" t="s">
        <v>149</v>
      </c>
      <c r="H310" s="4" t="s">
        <v>50</v>
      </c>
      <c r="I310" s="4" t="s">
        <v>34</v>
      </c>
      <c r="J310" s="4" t="s">
        <v>34</v>
      </c>
      <c r="K310" s="4" t="s">
        <v>34</v>
      </c>
      <c r="L310" s="4" t="s">
        <v>34</v>
      </c>
      <c r="M310" s="4" t="s">
        <v>34</v>
      </c>
      <c r="N310" s="4" t="s">
        <v>34</v>
      </c>
      <c r="O310" s="4" t="s">
        <v>34</v>
      </c>
      <c r="P310" s="4" t="s">
        <v>49</v>
      </c>
      <c r="Q310" s="4" t="s">
        <v>56</v>
      </c>
      <c r="R310" s="5" t="s">
        <v>161</v>
      </c>
    </row>
    <row r="311" spans="1:18" x14ac:dyDescent="0.3">
      <c r="A311" t="s">
        <v>188</v>
      </c>
      <c r="B311" t="s">
        <v>189</v>
      </c>
      <c r="C311" t="s">
        <v>187</v>
      </c>
      <c r="D311">
        <v>56</v>
      </c>
      <c r="E311">
        <v>1</v>
      </c>
      <c r="F311" t="s">
        <v>37</v>
      </c>
      <c r="G311" t="s">
        <v>108</v>
      </c>
      <c r="H311" t="s">
        <v>33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49</v>
      </c>
      <c r="Q311" t="s">
        <v>56</v>
      </c>
      <c r="R311" s="1" t="s">
        <v>63</v>
      </c>
    </row>
    <row r="312" spans="1:18" x14ac:dyDescent="0.3">
      <c r="A312" s="4" t="s">
        <v>188</v>
      </c>
      <c r="B312" s="4" t="s">
        <v>189</v>
      </c>
      <c r="C312" s="4" t="s">
        <v>187</v>
      </c>
      <c r="D312" s="4">
        <v>60</v>
      </c>
      <c r="E312" s="4">
        <v>1</v>
      </c>
      <c r="F312" s="4" t="s">
        <v>42</v>
      </c>
      <c r="G312" s="4" t="s">
        <v>108</v>
      </c>
      <c r="H312" s="4" t="s">
        <v>40</v>
      </c>
      <c r="I312" s="4" t="s">
        <v>34</v>
      </c>
      <c r="J312" s="4" t="s">
        <v>34</v>
      </c>
      <c r="K312" s="4" t="s">
        <v>41</v>
      </c>
      <c r="L312" s="4" t="s">
        <v>41</v>
      </c>
      <c r="M312" s="4" t="s">
        <v>34</v>
      </c>
      <c r="N312" s="4" t="s">
        <v>34</v>
      </c>
      <c r="O312" s="4" t="s">
        <v>34</v>
      </c>
      <c r="P312" s="4" t="s">
        <v>49</v>
      </c>
      <c r="Q312" s="4" t="s">
        <v>56</v>
      </c>
      <c r="R312" s="5" t="s">
        <v>161</v>
      </c>
    </row>
    <row r="313" spans="1:18" x14ac:dyDescent="0.3">
      <c r="A313" t="s">
        <v>191</v>
      </c>
      <c r="B313" t="s">
        <v>192</v>
      </c>
      <c r="C313" t="s">
        <v>24</v>
      </c>
      <c r="D313">
        <v>3</v>
      </c>
      <c r="E313">
        <v>1</v>
      </c>
      <c r="F313" t="s">
        <v>42</v>
      </c>
      <c r="G313" t="s">
        <v>193</v>
      </c>
      <c r="H313" t="s">
        <v>40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49</v>
      </c>
      <c r="Q313" t="s">
        <v>36</v>
      </c>
      <c r="R313" s="1" t="s">
        <v>124</v>
      </c>
    </row>
    <row r="314" spans="1:18" x14ac:dyDescent="0.3">
      <c r="A314" s="4" t="s">
        <v>191</v>
      </c>
      <c r="B314" s="4" t="s">
        <v>192</v>
      </c>
      <c r="C314" s="4" t="s">
        <v>24</v>
      </c>
      <c r="D314" s="4">
        <v>6</v>
      </c>
      <c r="E314" s="4">
        <v>1</v>
      </c>
      <c r="F314" s="4" t="s">
        <v>42</v>
      </c>
      <c r="G314" s="4" t="s">
        <v>32</v>
      </c>
      <c r="H314" s="4" t="s">
        <v>194</v>
      </c>
      <c r="I314" s="4" t="s">
        <v>34</v>
      </c>
      <c r="J314" s="4" t="s">
        <v>34</v>
      </c>
      <c r="K314" s="4" t="s">
        <v>34</v>
      </c>
      <c r="L314" s="4" t="s">
        <v>34</v>
      </c>
      <c r="M314" s="4" t="s">
        <v>34</v>
      </c>
      <c r="N314" s="4" t="s">
        <v>34</v>
      </c>
      <c r="O314" s="4" t="s">
        <v>34</v>
      </c>
      <c r="P314" s="4" t="s">
        <v>49</v>
      </c>
      <c r="Q314" s="4" t="s">
        <v>36</v>
      </c>
      <c r="R314" s="5" t="s">
        <v>38</v>
      </c>
    </row>
    <row r="315" spans="1:18" x14ac:dyDescent="0.3">
      <c r="A315" t="s">
        <v>191</v>
      </c>
      <c r="B315" t="s">
        <v>192</v>
      </c>
      <c r="C315" t="s">
        <v>24</v>
      </c>
      <c r="D315">
        <v>11</v>
      </c>
      <c r="E315">
        <v>1</v>
      </c>
      <c r="F315" t="s">
        <v>37</v>
      </c>
      <c r="G315" t="s">
        <v>108</v>
      </c>
      <c r="H315" t="s">
        <v>105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49</v>
      </c>
      <c r="Q315" t="s">
        <v>36</v>
      </c>
      <c r="R315" s="1" t="s">
        <v>124</v>
      </c>
    </row>
    <row r="316" spans="1:18" x14ac:dyDescent="0.3">
      <c r="A316" s="4" t="s">
        <v>191</v>
      </c>
      <c r="B316" s="4" t="s">
        <v>192</v>
      </c>
      <c r="C316" s="4" t="s">
        <v>24</v>
      </c>
      <c r="D316" s="4">
        <v>14</v>
      </c>
      <c r="E316" s="4">
        <v>1</v>
      </c>
      <c r="F316" s="4" t="s">
        <v>42</v>
      </c>
      <c r="G316" s="4" t="s">
        <v>32</v>
      </c>
      <c r="H316" s="4" t="s">
        <v>127</v>
      </c>
      <c r="I316" s="4" t="s">
        <v>34</v>
      </c>
      <c r="J316" s="4" t="s">
        <v>34</v>
      </c>
      <c r="K316" s="4" t="s">
        <v>34</v>
      </c>
      <c r="L316" s="4" t="s">
        <v>34</v>
      </c>
      <c r="M316" s="4" t="s">
        <v>34</v>
      </c>
      <c r="N316" s="4" t="s">
        <v>34</v>
      </c>
      <c r="O316" s="4" t="s">
        <v>34</v>
      </c>
      <c r="P316" s="4" t="s">
        <v>49</v>
      </c>
      <c r="Q316" s="4" t="s">
        <v>36</v>
      </c>
      <c r="R316" s="5" t="s">
        <v>38</v>
      </c>
    </row>
    <row r="317" spans="1:18" x14ac:dyDescent="0.3">
      <c r="A317" t="s">
        <v>191</v>
      </c>
      <c r="B317" t="s">
        <v>192</v>
      </c>
      <c r="C317" t="s">
        <v>24</v>
      </c>
      <c r="D317">
        <v>16</v>
      </c>
      <c r="E317">
        <v>1</v>
      </c>
      <c r="F317" t="s">
        <v>42</v>
      </c>
      <c r="G317" t="s">
        <v>32</v>
      </c>
      <c r="H317" t="s">
        <v>50</v>
      </c>
      <c r="I317" t="s">
        <v>34</v>
      </c>
      <c r="J317" t="s">
        <v>34</v>
      </c>
      <c r="K317" t="s">
        <v>41</v>
      </c>
      <c r="L317" t="s">
        <v>41</v>
      </c>
      <c r="M317" t="s">
        <v>34</v>
      </c>
      <c r="N317" t="s">
        <v>34</v>
      </c>
      <c r="O317" t="s">
        <v>34</v>
      </c>
      <c r="P317" t="s">
        <v>49</v>
      </c>
      <c r="Q317" t="s">
        <v>36</v>
      </c>
      <c r="R317" s="1" t="s">
        <v>38</v>
      </c>
    </row>
    <row r="318" spans="1:18" x14ac:dyDescent="0.3">
      <c r="A318" s="4" t="s">
        <v>191</v>
      </c>
      <c r="B318" s="4" t="s">
        <v>192</v>
      </c>
      <c r="C318" s="4" t="s">
        <v>24</v>
      </c>
      <c r="D318" s="4">
        <v>19</v>
      </c>
      <c r="E318" s="4">
        <v>1</v>
      </c>
      <c r="F318" s="4" t="s">
        <v>37</v>
      </c>
      <c r="G318" s="4" t="s">
        <v>32</v>
      </c>
      <c r="H318" s="4" t="s">
        <v>61</v>
      </c>
      <c r="I318" s="4" t="s">
        <v>34</v>
      </c>
      <c r="J318" s="4" t="s">
        <v>34</v>
      </c>
      <c r="K318" s="4" t="s">
        <v>34</v>
      </c>
      <c r="L318" s="4" t="s">
        <v>34</v>
      </c>
      <c r="M318" s="4" t="s">
        <v>34</v>
      </c>
      <c r="N318" s="4" t="s">
        <v>34</v>
      </c>
      <c r="O318" s="4" t="s">
        <v>34</v>
      </c>
      <c r="P318" s="4" t="s">
        <v>49</v>
      </c>
      <c r="Q318" s="4" t="s">
        <v>36</v>
      </c>
      <c r="R318" s="5" t="s">
        <v>91</v>
      </c>
    </row>
    <row r="319" spans="1:18" x14ac:dyDescent="0.3">
      <c r="A319" t="s">
        <v>191</v>
      </c>
      <c r="B319" t="s">
        <v>192</v>
      </c>
      <c r="C319" t="s">
        <v>24</v>
      </c>
      <c r="D319">
        <v>21</v>
      </c>
      <c r="E319">
        <v>1</v>
      </c>
      <c r="F319" t="s">
        <v>58</v>
      </c>
      <c r="G319" t="s">
        <v>32</v>
      </c>
      <c r="H319" t="s">
        <v>61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35</v>
      </c>
      <c r="Q319" t="s">
        <v>36</v>
      </c>
      <c r="R319" s="1" t="s">
        <v>38</v>
      </c>
    </row>
    <row r="320" spans="1:18" x14ac:dyDescent="0.3">
      <c r="A320" s="4" t="s">
        <v>191</v>
      </c>
      <c r="B320" s="4" t="s">
        <v>192</v>
      </c>
      <c r="C320" s="4" t="s">
        <v>24</v>
      </c>
      <c r="D320" s="4">
        <v>24</v>
      </c>
      <c r="E320" s="4">
        <v>1</v>
      </c>
      <c r="F320" s="4" t="s">
        <v>37</v>
      </c>
      <c r="G320" s="4" t="s">
        <v>32</v>
      </c>
      <c r="H320" s="4" t="s">
        <v>33</v>
      </c>
      <c r="I320" s="4" t="s">
        <v>34</v>
      </c>
      <c r="J320" s="4" t="s">
        <v>41</v>
      </c>
      <c r="K320" s="4" t="s">
        <v>34</v>
      </c>
      <c r="L320" s="4" t="s">
        <v>34</v>
      </c>
      <c r="M320" s="4" t="s">
        <v>34</v>
      </c>
      <c r="N320" s="4" t="s">
        <v>34</v>
      </c>
      <c r="O320" s="4" t="s">
        <v>34</v>
      </c>
      <c r="P320" s="4" t="s">
        <v>35</v>
      </c>
      <c r="Q320" s="4" t="s">
        <v>36</v>
      </c>
      <c r="R320" s="5" t="s">
        <v>38</v>
      </c>
    </row>
    <row r="321" spans="1:18" x14ac:dyDescent="0.3">
      <c r="A321" t="s">
        <v>191</v>
      </c>
      <c r="B321" t="s">
        <v>192</v>
      </c>
      <c r="C321" t="s">
        <v>24</v>
      </c>
      <c r="D321">
        <v>30</v>
      </c>
      <c r="E321">
        <v>1</v>
      </c>
      <c r="F321" t="s">
        <v>129</v>
      </c>
      <c r="G321" t="s">
        <v>108</v>
      </c>
      <c r="H321" t="s">
        <v>40</v>
      </c>
      <c r="I321" t="s">
        <v>34</v>
      </c>
      <c r="J321" t="s">
        <v>34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49</v>
      </c>
      <c r="Q321" t="s">
        <v>36</v>
      </c>
      <c r="R321" s="1" t="s">
        <v>38</v>
      </c>
    </row>
    <row r="322" spans="1:18" x14ac:dyDescent="0.3">
      <c r="A322" s="4" t="s">
        <v>191</v>
      </c>
      <c r="B322" s="4" t="s">
        <v>192</v>
      </c>
      <c r="C322" s="4" t="s">
        <v>24</v>
      </c>
      <c r="D322" s="4">
        <v>32</v>
      </c>
      <c r="E322" s="4">
        <v>1</v>
      </c>
      <c r="F322" s="4" t="s">
        <v>42</v>
      </c>
      <c r="G322" s="4" t="s">
        <v>46</v>
      </c>
      <c r="H322" s="4" t="s">
        <v>40</v>
      </c>
      <c r="I322" s="4" t="s">
        <v>34</v>
      </c>
      <c r="J322" s="4" t="s">
        <v>34</v>
      </c>
      <c r="K322" s="4" t="s">
        <v>41</v>
      </c>
      <c r="L322" s="4" t="s">
        <v>41</v>
      </c>
      <c r="M322" s="4" t="s">
        <v>34</v>
      </c>
      <c r="N322" s="4" t="s">
        <v>34</v>
      </c>
      <c r="O322" s="4" t="s">
        <v>34</v>
      </c>
      <c r="P322" s="4" t="s">
        <v>49</v>
      </c>
      <c r="Q322" s="4" t="s">
        <v>36</v>
      </c>
      <c r="R322" s="5" t="s">
        <v>38</v>
      </c>
    </row>
    <row r="323" spans="1:18" x14ac:dyDescent="0.3">
      <c r="A323" t="s">
        <v>191</v>
      </c>
      <c r="B323" t="s">
        <v>192</v>
      </c>
      <c r="C323" t="s">
        <v>24</v>
      </c>
      <c r="D323">
        <v>37</v>
      </c>
      <c r="E323">
        <v>1</v>
      </c>
      <c r="F323" t="s">
        <v>37</v>
      </c>
      <c r="G323" t="s">
        <v>32</v>
      </c>
      <c r="H323" t="s">
        <v>33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35</v>
      </c>
      <c r="Q323" t="s">
        <v>36</v>
      </c>
      <c r="R323" s="1" t="s">
        <v>38</v>
      </c>
    </row>
    <row r="324" spans="1:18" x14ac:dyDescent="0.3">
      <c r="A324" s="4" t="s">
        <v>191</v>
      </c>
      <c r="B324" s="4" t="s">
        <v>192</v>
      </c>
      <c r="C324" s="4" t="s">
        <v>24</v>
      </c>
      <c r="D324" s="4">
        <v>46</v>
      </c>
      <c r="E324" s="4">
        <v>1</v>
      </c>
      <c r="F324" s="4" t="s">
        <v>37</v>
      </c>
      <c r="G324" s="4" t="s">
        <v>32</v>
      </c>
      <c r="H324" s="4" t="s">
        <v>33</v>
      </c>
      <c r="I324" s="4" t="s">
        <v>34</v>
      </c>
      <c r="J324" s="4" t="s">
        <v>34</v>
      </c>
      <c r="K324" s="4" t="s">
        <v>41</v>
      </c>
      <c r="L324" s="4" t="s">
        <v>41</v>
      </c>
      <c r="M324" s="4" t="s">
        <v>34</v>
      </c>
      <c r="N324" s="4" t="s">
        <v>34</v>
      </c>
      <c r="O324" s="4" t="s">
        <v>34</v>
      </c>
      <c r="P324" s="4" t="s">
        <v>35</v>
      </c>
      <c r="Q324" s="4" t="s">
        <v>36</v>
      </c>
      <c r="R324" s="5" t="s">
        <v>124</v>
      </c>
    </row>
    <row r="325" spans="1:18" x14ac:dyDescent="0.3">
      <c r="A325" t="s">
        <v>191</v>
      </c>
      <c r="B325" t="s">
        <v>192</v>
      </c>
      <c r="C325" t="s">
        <v>24</v>
      </c>
      <c r="D325">
        <v>54</v>
      </c>
      <c r="E325">
        <v>1</v>
      </c>
      <c r="F325" t="s">
        <v>37</v>
      </c>
      <c r="G325" t="s">
        <v>67</v>
      </c>
      <c r="H325" t="s">
        <v>33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35</v>
      </c>
      <c r="Q325" t="s">
        <v>36</v>
      </c>
      <c r="R325" s="1" t="s">
        <v>38</v>
      </c>
    </row>
    <row r="326" spans="1:18" x14ac:dyDescent="0.3">
      <c r="A326" s="4" t="s">
        <v>191</v>
      </c>
      <c r="B326" s="4" t="s">
        <v>192</v>
      </c>
      <c r="C326" s="4" t="s">
        <v>24</v>
      </c>
      <c r="D326" s="4">
        <v>60</v>
      </c>
      <c r="E326" s="4">
        <v>1</v>
      </c>
      <c r="F326" s="4" t="s">
        <v>37</v>
      </c>
      <c r="G326" s="4" t="s">
        <v>46</v>
      </c>
      <c r="H326" s="4" t="s">
        <v>195</v>
      </c>
      <c r="I326" s="4" t="s">
        <v>34</v>
      </c>
      <c r="J326" s="4" t="s">
        <v>34</v>
      </c>
      <c r="K326" s="4" t="s">
        <v>41</v>
      </c>
      <c r="L326" s="4" t="s">
        <v>34</v>
      </c>
      <c r="M326" s="4" t="s">
        <v>34</v>
      </c>
      <c r="N326" s="4" t="s">
        <v>34</v>
      </c>
      <c r="O326" s="4" t="s">
        <v>34</v>
      </c>
      <c r="P326" s="4" t="s">
        <v>35</v>
      </c>
      <c r="Q326" s="4" t="s">
        <v>36</v>
      </c>
      <c r="R326" s="5" t="s">
        <v>38</v>
      </c>
    </row>
    <row r="327" spans="1:18" x14ac:dyDescent="0.3">
      <c r="A327" t="s">
        <v>191</v>
      </c>
      <c r="B327" t="s">
        <v>192</v>
      </c>
      <c r="C327" t="s">
        <v>24</v>
      </c>
      <c r="D327">
        <v>67</v>
      </c>
      <c r="E327">
        <v>3</v>
      </c>
      <c r="F327" t="s">
        <v>129</v>
      </c>
      <c r="G327" t="s">
        <v>32</v>
      </c>
      <c r="H327" t="s">
        <v>50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49</v>
      </c>
      <c r="Q327" t="s">
        <v>56</v>
      </c>
      <c r="R327" s="1" t="s">
        <v>116</v>
      </c>
    </row>
    <row r="328" spans="1:18" x14ac:dyDescent="0.3">
      <c r="A328" s="4" t="s">
        <v>191</v>
      </c>
      <c r="B328" s="4" t="s">
        <v>192</v>
      </c>
      <c r="C328" s="4" t="s">
        <v>24</v>
      </c>
      <c r="D328" s="4">
        <v>74</v>
      </c>
      <c r="E328" s="4">
        <v>1</v>
      </c>
      <c r="F328" s="4" t="s">
        <v>129</v>
      </c>
      <c r="G328" s="4" t="s">
        <v>108</v>
      </c>
      <c r="H328" s="4" t="s">
        <v>40</v>
      </c>
      <c r="I328" s="4" t="s">
        <v>34</v>
      </c>
      <c r="J328" s="4" t="s">
        <v>41</v>
      </c>
      <c r="K328" s="4" t="s">
        <v>34</v>
      </c>
      <c r="L328" s="4" t="s">
        <v>34</v>
      </c>
      <c r="M328" s="4" t="s">
        <v>34</v>
      </c>
      <c r="N328" s="4" t="s">
        <v>34</v>
      </c>
      <c r="O328" s="4" t="s">
        <v>34</v>
      </c>
      <c r="P328" s="4" t="s">
        <v>49</v>
      </c>
      <c r="Q328" s="4" t="s">
        <v>56</v>
      </c>
      <c r="R328" s="5" t="s">
        <v>170</v>
      </c>
    </row>
    <row r="329" spans="1:18" x14ac:dyDescent="0.3">
      <c r="A329" t="s">
        <v>191</v>
      </c>
      <c r="B329" t="s">
        <v>192</v>
      </c>
      <c r="C329" t="s">
        <v>24</v>
      </c>
      <c r="D329">
        <v>78</v>
      </c>
      <c r="E329">
        <v>1</v>
      </c>
      <c r="F329" t="s">
        <v>42</v>
      </c>
      <c r="G329" t="s">
        <v>32</v>
      </c>
      <c r="H329" t="s">
        <v>40</v>
      </c>
      <c r="I329" t="s">
        <v>34</v>
      </c>
      <c r="J329" t="s">
        <v>34</v>
      </c>
      <c r="K329" t="s">
        <v>41</v>
      </c>
      <c r="L329" t="s">
        <v>41</v>
      </c>
      <c r="M329" t="s">
        <v>34</v>
      </c>
      <c r="N329" t="s">
        <v>34</v>
      </c>
      <c r="O329" t="s">
        <v>34</v>
      </c>
      <c r="P329" t="s">
        <v>49</v>
      </c>
      <c r="Q329" t="s">
        <v>56</v>
      </c>
      <c r="R329" s="1" t="s">
        <v>116</v>
      </c>
    </row>
    <row r="330" spans="1:18" x14ac:dyDescent="0.3">
      <c r="A330" s="4" t="s">
        <v>191</v>
      </c>
      <c r="B330" s="4" t="s">
        <v>192</v>
      </c>
      <c r="C330" s="4" t="s">
        <v>24</v>
      </c>
      <c r="D330" s="4">
        <v>85</v>
      </c>
      <c r="E330" s="4">
        <v>3</v>
      </c>
      <c r="F330" s="4" t="s">
        <v>37</v>
      </c>
      <c r="G330" s="4" t="s">
        <v>32</v>
      </c>
      <c r="H330" s="4" t="s">
        <v>33</v>
      </c>
      <c r="I330" s="4" t="s">
        <v>34</v>
      </c>
      <c r="J330" s="4" t="s">
        <v>34</v>
      </c>
      <c r="K330" s="4" t="s">
        <v>34</v>
      </c>
      <c r="L330" s="4" t="s">
        <v>34</v>
      </c>
      <c r="M330" s="4" t="s">
        <v>34</v>
      </c>
      <c r="N330" s="4" t="s">
        <v>34</v>
      </c>
      <c r="O330" s="4" t="s">
        <v>34</v>
      </c>
      <c r="P330" s="4" t="s">
        <v>35</v>
      </c>
      <c r="Q330" s="4" t="s">
        <v>56</v>
      </c>
      <c r="R330" s="5" t="s">
        <v>170</v>
      </c>
    </row>
    <row r="331" spans="1:18" x14ac:dyDescent="0.3">
      <c r="A331" t="s">
        <v>191</v>
      </c>
      <c r="B331" t="s">
        <v>192</v>
      </c>
      <c r="C331" t="s">
        <v>24</v>
      </c>
      <c r="D331">
        <v>91</v>
      </c>
      <c r="E331">
        <v>3</v>
      </c>
      <c r="F331" t="s">
        <v>37</v>
      </c>
      <c r="G331" t="s">
        <v>32</v>
      </c>
      <c r="H331" t="s">
        <v>33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35</v>
      </c>
      <c r="Q331" t="s">
        <v>56</v>
      </c>
      <c r="R331" s="1" t="s">
        <v>39</v>
      </c>
    </row>
    <row r="332" spans="1:18" x14ac:dyDescent="0.3">
      <c r="A332" s="4" t="s">
        <v>191</v>
      </c>
      <c r="B332" s="4" t="s">
        <v>192</v>
      </c>
      <c r="C332" s="4" t="s">
        <v>24</v>
      </c>
      <c r="D332" s="4">
        <v>98</v>
      </c>
      <c r="E332" s="4">
        <v>1</v>
      </c>
      <c r="F332" s="4" t="s">
        <v>129</v>
      </c>
      <c r="G332" s="4" t="s">
        <v>108</v>
      </c>
      <c r="H332" s="4" t="s">
        <v>144</v>
      </c>
      <c r="I332" s="4" t="s">
        <v>34</v>
      </c>
      <c r="J332" s="4" t="s">
        <v>34</v>
      </c>
      <c r="K332" s="4" t="s">
        <v>34</v>
      </c>
      <c r="L332" s="4" t="s">
        <v>34</v>
      </c>
      <c r="M332" s="4" t="s">
        <v>34</v>
      </c>
      <c r="N332" s="4" t="s">
        <v>34</v>
      </c>
      <c r="O332" s="4" t="s">
        <v>34</v>
      </c>
      <c r="P332" s="4" t="s">
        <v>49</v>
      </c>
      <c r="Q332" s="4" t="s">
        <v>56</v>
      </c>
      <c r="R332" s="5" t="s">
        <v>116</v>
      </c>
    </row>
    <row r="333" spans="1:18" x14ac:dyDescent="0.3">
      <c r="A333" t="s">
        <v>191</v>
      </c>
      <c r="B333" t="s">
        <v>192</v>
      </c>
      <c r="C333" t="s">
        <v>24</v>
      </c>
      <c r="D333">
        <v>100</v>
      </c>
      <c r="E333">
        <v>1</v>
      </c>
      <c r="F333" t="s">
        <v>42</v>
      </c>
      <c r="G333" t="s">
        <v>46</v>
      </c>
      <c r="H333" t="s">
        <v>40</v>
      </c>
      <c r="I333" t="s">
        <v>34</v>
      </c>
      <c r="J333" t="s">
        <v>34</v>
      </c>
      <c r="K333" t="s">
        <v>41</v>
      </c>
      <c r="L333" t="s">
        <v>41</v>
      </c>
      <c r="M333" t="s">
        <v>34</v>
      </c>
      <c r="N333" t="s">
        <v>34</v>
      </c>
      <c r="O333" t="s">
        <v>34</v>
      </c>
      <c r="P333" t="s">
        <v>49</v>
      </c>
      <c r="Q333" t="s">
        <v>56</v>
      </c>
      <c r="R333" s="1" t="s">
        <v>38</v>
      </c>
    </row>
    <row r="334" spans="1:18" x14ac:dyDescent="0.3">
      <c r="A334" s="4" t="s">
        <v>191</v>
      </c>
      <c r="B334" s="4" t="s">
        <v>192</v>
      </c>
      <c r="C334" s="4" t="s">
        <v>24</v>
      </c>
      <c r="D334" s="4">
        <v>106</v>
      </c>
      <c r="E334" s="4">
        <v>3</v>
      </c>
      <c r="F334" s="4" t="s">
        <v>129</v>
      </c>
      <c r="G334" s="4" t="s">
        <v>108</v>
      </c>
      <c r="H334" s="4" t="s">
        <v>130</v>
      </c>
      <c r="I334" s="4" t="s">
        <v>34</v>
      </c>
      <c r="J334" s="4" t="s">
        <v>34</v>
      </c>
      <c r="K334" s="4" t="s">
        <v>34</v>
      </c>
      <c r="L334" s="4" t="s">
        <v>34</v>
      </c>
      <c r="M334" s="4" t="s">
        <v>34</v>
      </c>
      <c r="N334" s="4" t="s">
        <v>34</v>
      </c>
      <c r="O334" s="4" t="s">
        <v>34</v>
      </c>
      <c r="P334" s="4" t="s">
        <v>35</v>
      </c>
      <c r="Q334" s="4" t="s">
        <v>56</v>
      </c>
      <c r="R334" s="5" t="s">
        <v>170</v>
      </c>
    </row>
    <row r="335" spans="1:18" x14ac:dyDescent="0.3">
      <c r="A335" t="s">
        <v>191</v>
      </c>
      <c r="B335" t="s">
        <v>192</v>
      </c>
      <c r="C335" t="s">
        <v>24</v>
      </c>
      <c r="D335">
        <v>110</v>
      </c>
      <c r="E335">
        <v>4</v>
      </c>
      <c r="F335" t="s">
        <v>196</v>
      </c>
      <c r="G335" t="s">
        <v>108</v>
      </c>
      <c r="H335" t="s">
        <v>197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35</v>
      </c>
      <c r="Q335" t="s">
        <v>56</v>
      </c>
      <c r="R335" s="1" t="s">
        <v>38</v>
      </c>
    </row>
    <row r="336" spans="1:18" x14ac:dyDescent="0.3">
      <c r="A336" s="4" t="s">
        <v>191</v>
      </c>
      <c r="B336" s="4" t="s">
        <v>192</v>
      </c>
      <c r="C336" s="4" t="s">
        <v>24</v>
      </c>
      <c r="D336" s="4">
        <v>111</v>
      </c>
      <c r="E336" s="4">
        <v>4</v>
      </c>
      <c r="F336" s="4" t="s">
        <v>129</v>
      </c>
      <c r="G336" s="4" t="s">
        <v>108</v>
      </c>
      <c r="H336" s="4" t="s">
        <v>198</v>
      </c>
      <c r="I336" s="4" t="s">
        <v>34</v>
      </c>
      <c r="J336" s="4" t="s">
        <v>34</v>
      </c>
      <c r="K336" s="4" t="s">
        <v>34</v>
      </c>
      <c r="L336" s="4" t="s">
        <v>34</v>
      </c>
      <c r="M336" s="4" t="s">
        <v>34</v>
      </c>
      <c r="N336" s="4" t="s">
        <v>34</v>
      </c>
      <c r="O336" s="4" t="s">
        <v>34</v>
      </c>
      <c r="P336" s="4" t="s">
        <v>35</v>
      </c>
      <c r="Q336" s="4" t="s">
        <v>56</v>
      </c>
      <c r="R336" s="5" t="s">
        <v>38</v>
      </c>
    </row>
    <row r="337" spans="1:18" x14ac:dyDescent="0.3">
      <c r="A337" t="s">
        <v>191</v>
      </c>
      <c r="B337" t="s">
        <v>192</v>
      </c>
      <c r="C337" t="s">
        <v>24</v>
      </c>
      <c r="D337">
        <v>118</v>
      </c>
      <c r="E337">
        <v>3</v>
      </c>
      <c r="F337" t="s">
        <v>153</v>
      </c>
      <c r="G337" t="s">
        <v>108</v>
      </c>
      <c r="H337" t="s">
        <v>153</v>
      </c>
      <c r="I337" t="s">
        <v>34</v>
      </c>
      <c r="J337" t="s">
        <v>34</v>
      </c>
      <c r="K337" t="s">
        <v>41</v>
      </c>
      <c r="L337" t="s">
        <v>41</v>
      </c>
      <c r="M337" t="s">
        <v>34</v>
      </c>
      <c r="N337" t="s">
        <v>34</v>
      </c>
      <c r="O337" t="s">
        <v>34</v>
      </c>
      <c r="P337" t="s">
        <v>35</v>
      </c>
      <c r="Q337" t="s">
        <v>56</v>
      </c>
      <c r="R337" s="1" t="s">
        <v>153</v>
      </c>
    </row>
    <row r="338" spans="1:18" x14ac:dyDescent="0.3">
      <c r="A338" s="4" t="s">
        <v>191</v>
      </c>
      <c r="B338" s="4" t="s">
        <v>192</v>
      </c>
      <c r="C338" s="4" t="s">
        <v>24</v>
      </c>
      <c r="D338" s="4">
        <v>130</v>
      </c>
      <c r="E338" s="4">
        <v>3</v>
      </c>
      <c r="F338" s="4" t="s">
        <v>37</v>
      </c>
      <c r="G338" s="4" t="s">
        <v>46</v>
      </c>
      <c r="H338" s="4" t="s">
        <v>33</v>
      </c>
      <c r="I338" s="4" t="s">
        <v>34</v>
      </c>
      <c r="J338" s="4" t="s">
        <v>34</v>
      </c>
      <c r="K338" s="4" t="s">
        <v>34</v>
      </c>
      <c r="L338" s="4" t="s">
        <v>34</v>
      </c>
      <c r="M338" s="4" t="s">
        <v>34</v>
      </c>
      <c r="N338" s="4" t="s">
        <v>34</v>
      </c>
      <c r="O338" s="4" t="s">
        <v>34</v>
      </c>
      <c r="P338" s="4" t="s">
        <v>35</v>
      </c>
      <c r="Q338" s="4" t="s">
        <v>56</v>
      </c>
      <c r="R338" s="5" t="s">
        <v>38</v>
      </c>
    </row>
    <row r="339" spans="1:18" x14ac:dyDescent="0.3">
      <c r="A339" t="s">
        <v>191</v>
      </c>
      <c r="B339" t="s">
        <v>192</v>
      </c>
      <c r="C339" t="s">
        <v>24</v>
      </c>
      <c r="D339">
        <v>133</v>
      </c>
      <c r="E339">
        <v>1</v>
      </c>
      <c r="F339" t="s">
        <v>42</v>
      </c>
      <c r="G339" t="s">
        <v>46</v>
      </c>
      <c r="H339" t="s">
        <v>199</v>
      </c>
      <c r="I339" t="s">
        <v>34</v>
      </c>
      <c r="J339" t="s">
        <v>41</v>
      </c>
      <c r="K339" t="s">
        <v>41</v>
      </c>
      <c r="L339" t="s">
        <v>34</v>
      </c>
      <c r="M339" t="s">
        <v>34</v>
      </c>
      <c r="N339" t="s">
        <v>34</v>
      </c>
      <c r="O339" t="s">
        <v>41</v>
      </c>
      <c r="P339" t="s">
        <v>35</v>
      </c>
      <c r="Q339" t="s">
        <v>56</v>
      </c>
      <c r="R339" s="1" t="s">
        <v>38</v>
      </c>
    </row>
    <row r="340" spans="1:18" x14ac:dyDescent="0.3">
      <c r="A340" s="4" t="s">
        <v>191</v>
      </c>
      <c r="B340" s="4" t="s">
        <v>192</v>
      </c>
      <c r="C340" s="4" t="s">
        <v>24</v>
      </c>
      <c r="D340" s="4">
        <v>141</v>
      </c>
      <c r="E340" s="4">
        <v>3</v>
      </c>
      <c r="F340" s="4" t="s">
        <v>42</v>
      </c>
      <c r="G340" s="4" t="s">
        <v>108</v>
      </c>
      <c r="H340" s="4" t="s">
        <v>50</v>
      </c>
      <c r="I340" s="4" t="s">
        <v>34</v>
      </c>
      <c r="J340" s="4" t="s">
        <v>34</v>
      </c>
      <c r="K340" s="4" t="s">
        <v>34</v>
      </c>
      <c r="L340" s="4" t="s">
        <v>34</v>
      </c>
      <c r="M340" s="4" t="s">
        <v>34</v>
      </c>
      <c r="N340" s="4" t="s">
        <v>34</v>
      </c>
      <c r="O340" s="4" t="s">
        <v>34</v>
      </c>
      <c r="P340" s="4" t="s">
        <v>49</v>
      </c>
      <c r="Q340" s="4" t="s">
        <v>36</v>
      </c>
      <c r="R340" s="5" t="s">
        <v>157</v>
      </c>
    </row>
    <row r="341" spans="1:18" x14ac:dyDescent="0.3">
      <c r="A341" t="s">
        <v>191</v>
      </c>
      <c r="B341" t="s">
        <v>192</v>
      </c>
      <c r="C341" t="s">
        <v>24</v>
      </c>
      <c r="D341">
        <v>143</v>
      </c>
      <c r="E341">
        <v>1</v>
      </c>
      <c r="F341" t="s">
        <v>129</v>
      </c>
      <c r="G341" t="s">
        <v>108</v>
      </c>
      <c r="H341" t="s">
        <v>168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49</v>
      </c>
      <c r="Q341" t="s">
        <v>36</v>
      </c>
      <c r="R341" s="1" t="s">
        <v>91</v>
      </c>
    </row>
    <row r="342" spans="1:18" x14ac:dyDescent="0.3">
      <c r="A342" s="4" t="s">
        <v>191</v>
      </c>
      <c r="B342" s="4" t="s">
        <v>192</v>
      </c>
      <c r="C342" s="4" t="s">
        <v>24</v>
      </c>
      <c r="D342" s="4">
        <v>147</v>
      </c>
      <c r="E342" s="4">
        <v>1</v>
      </c>
      <c r="F342" s="4" t="s">
        <v>42</v>
      </c>
      <c r="G342" s="4" t="s">
        <v>32</v>
      </c>
      <c r="H342" s="4" t="s">
        <v>40</v>
      </c>
      <c r="I342" s="4" t="s">
        <v>34</v>
      </c>
      <c r="J342" s="4" t="s">
        <v>34</v>
      </c>
      <c r="K342" s="4" t="s">
        <v>41</v>
      </c>
      <c r="L342" s="4" t="s">
        <v>41</v>
      </c>
      <c r="M342" s="4" t="s">
        <v>34</v>
      </c>
      <c r="N342" s="4" t="s">
        <v>34</v>
      </c>
      <c r="O342" s="4" t="s">
        <v>34</v>
      </c>
      <c r="P342" s="4" t="s">
        <v>49</v>
      </c>
      <c r="Q342" s="4" t="s">
        <v>36</v>
      </c>
      <c r="R342" s="5" t="s">
        <v>38</v>
      </c>
    </row>
    <row r="343" spans="1:18" x14ac:dyDescent="0.3">
      <c r="A343" t="s">
        <v>191</v>
      </c>
      <c r="B343" t="s">
        <v>192</v>
      </c>
      <c r="C343" t="s">
        <v>24</v>
      </c>
      <c r="D343">
        <v>151</v>
      </c>
      <c r="E343">
        <v>1</v>
      </c>
      <c r="F343" t="s">
        <v>153</v>
      </c>
      <c r="G343" t="s">
        <v>46</v>
      </c>
      <c r="H343" t="s">
        <v>153</v>
      </c>
      <c r="I343" t="s">
        <v>34</v>
      </c>
      <c r="J343" t="s">
        <v>34</v>
      </c>
      <c r="K343" t="s">
        <v>41</v>
      </c>
      <c r="L343" t="s">
        <v>41</v>
      </c>
      <c r="M343" t="s">
        <v>34</v>
      </c>
      <c r="N343" t="s">
        <v>34</v>
      </c>
      <c r="O343" t="s">
        <v>34</v>
      </c>
      <c r="P343" t="s">
        <v>49</v>
      </c>
      <c r="Q343" t="s">
        <v>36</v>
      </c>
      <c r="R343" s="1" t="s">
        <v>153</v>
      </c>
    </row>
    <row r="344" spans="1:18" x14ac:dyDescent="0.3">
      <c r="A344" s="4" t="s">
        <v>191</v>
      </c>
      <c r="B344" s="4" t="s">
        <v>192</v>
      </c>
      <c r="C344" s="4" t="s">
        <v>24</v>
      </c>
      <c r="D344" s="4">
        <v>154</v>
      </c>
      <c r="E344" s="4">
        <v>1</v>
      </c>
      <c r="F344" s="4" t="s">
        <v>42</v>
      </c>
      <c r="G344" s="4" t="s">
        <v>32</v>
      </c>
      <c r="H344" s="4" t="s">
        <v>40</v>
      </c>
      <c r="I344" s="4" t="s">
        <v>34</v>
      </c>
      <c r="J344" s="4" t="s">
        <v>34</v>
      </c>
      <c r="K344" s="4" t="s">
        <v>34</v>
      </c>
      <c r="L344" s="4" t="s">
        <v>34</v>
      </c>
      <c r="M344" s="4" t="s">
        <v>34</v>
      </c>
      <c r="N344" s="4" t="s">
        <v>34</v>
      </c>
      <c r="O344" s="4" t="s">
        <v>34</v>
      </c>
      <c r="P344" s="4" t="s">
        <v>49</v>
      </c>
      <c r="Q344" s="4" t="s">
        <v>36</v>
      </c>
      <c r="R344" s="5" t="s">
        <v>116</v>
      </c>
    </row>
    <row r="345" spans="1:18" x14ac:dyDescent="0.3">
      <c r="A345" t="s">
        <v>191</v>
      </c>
      <c r="B345" t="s">
        <v>192</v>
      </c>
      <c r="C345" t="s">
        <v>24</v>
      </c>
      <c r="D345">
        <v>155</v>
      </c>
      <c r="E345">
        <v>1</v>
      </c>
      <c r="F345" t="s">
        <v>42</v>
      </c>
      <c r="G345" t="s">
        <v>46</v>
      </c>
      <c r="H345" t="s">
        <v>33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49</v>
      </c>
      <c r="Q345" t="s">
        <v>36</v>
      </c>
      <c r="R345" s="1" t="s">
        <v>39</v>
      </c>
    </row>
    <row r="346" spans="1:18" x14ac:dyDescent="0.3">
      <c r="A346" s="4" t="s">
        <v>191</v>
      </c>
      <c r="B346" s="4" t="s">
        <v>192</v>
      </c>
      <c r="C346" s="4" t="s">
        <v>24</v>
      </c>
      <c r="D346" s="4">
        <v>156</v>
      </c>
      <c r="E346" s="4">
        <v>1</v>
      </c>
      <c r="F346" s="4" t="s">
        <v>42</v>
      </c>
      <c r="G346" s="4" t="s">
        <v>32</v>
      </c>
      <c r="H346" s="4" t="s">
        <v>105</v>
      </c>
      <c r="I346" s="4" t="s">
        <v>34</v>
      </c>
      <c r="J346" s="4" t="s">
        <v>34</v>
      </c>
      <c r="K346" s="4" t="s">
        <v>34</v>
      </c>
      <c r="L346" s="4" t="s">
        <v>34</v>
      </c>
      <c r="M346" s="4" t="s">
        <v>34</v>
      </c>
      <c r="N346" s="4" t="s">
        <v>34</v>
      </c>
      <c r="O346" s="4" t="s">
        <v>34</v>
      </c>
      <c r="P346" s="4" t="s">
        <v>49</v>
      </c>
      <c r="Q346" s="4" t="s">
        <v>36</v>
      </c>
      <c r="R346" s="5" t="s">
        <v>38</v>
      </c>
    </row>
    <row r="347" spans="1:18" x14ac:dyDescent="0.3">
      <c r="A347" t="s">
        <v>191</v>
      </c>
      <c r="B347" t="s">
        <v>192</v>
      </c>
      <c r="C347" t="s">
        <v>24</v>
      </c>
      <c r="D347">
        <v>162</v>
      </c>
      <c r="E347">
        <v>1</v>
      </c>
      <c r="F347" t="s">
        <v>42</v>
      </c>
      <c r="G347" t="s">
        <v>46</v>
      </c>
      <c r="H347" t="s">
        <v>40</v>
      </c>
      <c r="I347" t="s">
        <v>34</v>
      </c>
      <c r="J347" t="s">
        <v>34</v>
      </c>
      <c r="K347" t="s">
        <v>41</v>
      </c>
      <c r="L347" t="s">
        <v>41</v>
      </c>
      <c r="M347" t="s">
        <v>34</v>
      </c>
      <c r="N347" t="s">
        <v>34</v>
      </c>
      <c r="O347" t="s">
        <v>34</v>
      </c>
      <c r="P347" t="s">
        <v>49</v>
      </c>
      <c r="Q347" t="s">
        <v>36</v>
      </c>
      <c r="R347" s="1" t="s">
        <v>38</v>
      </c>
    </row>
    <row r="348" spans="1:18" x14ac:dyDescent="0.3">
      <c r="A348" s="4" t="s">
        <v>191</v>
      </c>
      <c r="B348" s="4" t="s">
        <v>192</v>
      </c>
      <c r="C348" s="4" t="s">
        <v>24</v>
      </c>
      <c r="D348" s="4">
        <v>165</v>
      </c>
      <c r="E348" s="4">
        <v>1</v>
      </c>
      <c r="F348" s="4" t="s">
        <v>37</v>
      </c>
      <c r="G348" s="4" t="s">
        <v>32</v>
      </c>
      <c r="H348" s="4" t="s">
        <v>33</v>
      </c>
      <c r="I348" s="4" t="s">
        <v>34</v>
      </c>
      <c r="J348" s="4" t="s">
        <v>34</v>
      </c>
      <c r="K348" s="4" t="s">
        <v>34</v>
      </c>
      <c r="L348" s="4" t="s">
        <v>34</v>
      </c>
      <c r="M348" s="4" t="s">
        <v>34</v>
      </c>
      <c r="N348" s="4" t="s">
        <v>34</v>
      </c>
      <c r="O348" s="4" t="s">
        <v>34</v>
      </c>
      <c r="P348" s="4" t="s">
        <v>35</v>
      </c>
      <c r="Q348" s="4" t="s">
        <v>36</v>
      </c>
      <c r="R348" s="5" t="s">
        <v>157</v>
      </c>
    </row>
    <row r="349" spans="1:18" x14ac:dyDescent="0.3">
      <c r="A349" t="s">
        <v>191</v>
      </c>
      <c r="B349" t="s">
        <v>192</v>
      </c>
      <c r="C349" t="s">
        <v>24</v>
      </c>
      <c r="D349">
        <v>168</v>
      </c>
      <c r="E349">
        <v>1</v>
      </c>
      <c r="F349" t="s">
        <v>42</v>
      </c>
      <c r="G349" t="s">
        <v>32</v>
      </c>
      <c r="H349" t="s">
        <v>40</v>
      </c>
      <c r="I349" t="s">
        <v>34</v>
      </c>
      <c r="J349" t="s">
        <v>41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35</v>
      </c>
      <c r="Q349" t="s">
        <v>36</v>
      </c>
      <c r="R349" s="1" t="s">
        <v>124</v>
      </c>
    </row>
    <row r="350" spans="1:18" x14ac:dyDescent="0.3">
      <c r="A350" s="4" t="s">
        <v>191</v>
      </c>
      <c r="B350" s="4" t="s">
        <v>192</v>
      </c>
      <c r="C350" s="4" t="s">
        <v>24</v>
      </c>
      <c r="D350" s="4">
        <v>173</v>
      </c>
      <c r="E350" s="4">
        <v>1</v>
      </c>
      <c r="F350" s="4" t="s">
        <v>42</v>
      </c>
      <c r="G350" s="4" t="s">
        <v>108</v>
      </c>
      <c r="H350" s="4" t="s">
        <v>158</v>
      </c>
      <c r="I350" s="4" t="s">
        <v>34</v>
      </c>
      <c r="J350" s="4" t="s">
        <v>34</v>
      </c>
      <c r="K350" s="4" t="s">
        <v>34</v>
      </c>
      <c r="L350" s="4" t="s">
        <v>34</v>
      </c>
      <c r="M350" s="4" t="s">
        <v>34</v>
      </c>
      <c r="N350" s="4" t="s">
        <v>34</v>
      </c>
      <c r="O350" s="4" t="s">
        <v>34</v>
      </c>
      <c r="P350" s="4" t="s">
        <v>49</v>
      </c>
      <c r="Q350" s="4" t="s">
        <v>36</v>
      </c>
      <c r="R350" s="5" t="s">
        <v>38</v>
      </c>
    </row>
    <row r="351" spans="1:18" x14ac:dyDescent="0.3">
      <c r="A351" t="s">
        <v>191</v>
      </c>
      <c r="B351" t="s">
        <v>192</v>
      </c>
      <c r="C351" t="s">
        <v>24</v>
      </c>
      <c r="D351">
        <v>178</v>
      </c>
      <c r="E351">
        <v>1</v>
      </c>
      <c r="F351" t="s">
        <v>42</v>
      </c>
      <c r="G351" t="s">
        <v>32</v>
      </c>
      <c r="H351" t="s">
        <v>40</v>
      </c>
      <c r="I351" t="s">
        <v>34</v>
      </c>
      <c r="J351" t="s">
        <v>34</v>
      </c>
      <c r="K351" t="s">
        <v>41</v>
      </c>
      <c r="L351" t="s">
        <v>41</v>
      </c>
      <c r="M351" t="s">
        <v>34</v>
      </c>
      <c r="N351" t="s">
        <v>34</v>
      </c>
      <c r="O351" t="s">
        <v>34</v>
      </c>
      <c r="P351" t="s">
        <v>49</v>
      </c>
      <c r="Q351" t="s">
        <v>36</v>
      </c>
      <c r="R351" s="1" t="s">
        <v>38</v>
      </c>
    </row>
    <row r="352" spans="1:18" x14ac:dyDescent="0.3">
      <c r="A352" s="4" t="s">
        <v>191</v>
      </c>
      <c r="B352" s="4" t="s">
        <v>192</v>
      </c>
      <c r="C352" s="4" t="s">
        <v>24</v>
      </c>
      <c r="D352" s="4">
        <v>183</v>
      </c>
      <c r="E352" s="4">
        <v>1</v>
      </c>
      <c r="F352" s="4" t="s">
        <v>37</v>
      </c>
      <c r="G352" s="4" t="s">
        <v>32</v>
      </c>
      <c r="H352" s="4" t="s">
        <v>33</v>
      </c>
      <c r="I352" s="4" t="s">
        <v>34</v>
      </c>
      <c r="J352" s="4" t="s">
        <v>41</v>
      </c>
      <c r="K352" s="4" t="s">
        <v>34</v>
      </c>
      <c r="L352" s="4" t="s">
        <v>34</v>
      </c>
      <c r="M352" s="4" t="s">
        <v>34</v>
      </c>
      <c r="N352" s="4" t="s">
        <v>34</v>
      </c>
      <c r="O352" s="4" t="s">
        <v>34</v>
      </c>
      <c r="P352" s="4" t="s">
        <v>35</v>
      </c>
      <c r="Q352" s="4" t="s">
        <v>36</v>
      </c>
      <c r="R352" s="5" t="s">
        <v>161</v>
      </c>
    </row>
    <row r="353" spans="1:18" x14ac:dyDescent="0.3">
      <c r="A353" t="s">
        <v>191</v>
      </c>
      <c r="B353" t="s">
        <v>192</v>
      </c>
      <c r="C353" t="s">
        <v>24</v>
      </c>
      <c r="D353">
        <v>188</v>
      </c>
      <c r="E353">
        <v>2</v>
      </c>
      <c r="F353" t="s">
        <v>129</v>
      </c>
      <c r="G353" t="s">
        <v>108</v>
      </c>
      <c r="H353" t="s">
        <v>144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49</v>
      </c>
      <c r="Q353" t="s">
        <v>36</v>
      </c>
      <c r="R353" s="1" t="s">
        <v>157</v>
      </c>
    </row>
    <row r="354" spans="1:18" x14ac:dyDescent="0.3">
      <c r="A354" s="4" t="s">
        <v>191</v>
      </c>
      <c r="B354" s="4" t="s">
        <v>192</v>
      </c>
      <c r="C354" s="4" t="s">
        <v>24</v>
      </c>
      <c r="D354" s="4">
        <v>192</v>
      </c>
      <c r="E354" s="4">
        <v>1</v>
      </c>
      <c r="F354" s="4" t="s">
        <v>129</v>
      </c>
      <c r="G354" s="4" t="s">
        <v>108</v>
      </c>
      <c r="H354" s="4" t="s">
        <v>200</v>
      </c>
      <c r="I354" s="4" t="s">
        <v>34</v>
      </c>
      <c r="J354" s="4" t="s">
        <v>34</v>
      </c>
      <c r="K354" s="4" t="s">
        <v>34</v>
      </c>
      <c r="L354" s="4" t="s">
        <v>34</v>
      </c>
      <c r="M354" s="4" t="s">
        <v>34</v>
      </c>
      <c r="N354" s="4" t="s">
        <v>34</v>
      </c>
      <c r="O354" s="4" t="s">
        <v>34</v>
      </c>
      <c r="P354" s="4" t="s">
        <v>49</v>
      </c>
      <c r="Q354" s="4" t="s">
        <v>36</v>
      </c>
      <c r="R354" s="5" t="s">
        <v>170</v>
      </c>
    </row>
    <row r="355" spans="1:18" x14ac:dyDescent="0.3">
      <c r="A355" t="s">
        <v>191</v>
      </c>
      <c r="B355" t="s">
        <v>192</v>
      </c>
      <c r="C355" t="s">
        <v>24</v>
      </c>
      <c r="D355">
        <v>193</v>
      </c>
      <c r="E355">
        <v>1</v>
      </c>
      <c r="F355" t="s">
        <v>42</v>
      </c>
      <c r="G355" t="s">
        <v>46</v>
      </c>
      <c r="H355" t="s">
        <v>40</v>
      </c>
      <c r="I355" t="s">
        <v>34</v>
      </c>
      <c r="J355" t="s">
        <v>34</v>
      </c>
      <c r="K355" t="s">
        <v>41</v>
      </c>
      <c r="L355" t="s">
        <v>34</v>
      </c>
      <c r="M355" t="s">
        <v>34</v>
      </c>
      <c r="N355" t="s">
        <v>34</v>
      </c>
      <c r="O355" t="s">
        <v>34</v>
      </c>
      <c r="P355" t="s">
        <v>49</v>
      </c>
      <c r="Q355" t="s">
        <v>36</v>
      </c>
      <c r="R355" s="1" t="s">
        <v>91</v>
      </c>
    </row>
    <row r="356" spans="1:18" x14ac:dyDescent="0.3">
      <c r="A356" s="4" t="s">
        <v>201</v>
      </c>
      <c r="B356" s="4" t="s">
        <v>202</v>
      </c>
      <c r="C356" s="4" t="s">
        <v>203</v>
      </c>
      <c r="D356" s="4">
        <v>16</v>
      </c>
      <c r="E356" s="4">
        <v>1</v>
      </c>
      <c r="F356" s="4" t="s">
        <v>53</v>
      </c>
      <c r="G356" s="4" t="s">
        <v>46</v>
      </c>
      <c r="H356" s="4" t="s">
        <v>153</v>
      </c>
      <c r="I356" s="4" t="s">
        <v>34</v>
      </c>
      <c r="J356" s="4" t="s">
        <v>41</v>
      </c>
      <c r="K356" s="4" t="s">
        <v>34</v>
      </c>
      <c r="L356" s="4" t="s">
        <v>34</v>
      </c>
      <c r="M356" s="4" t="s">
        <v>34</v>
      </c>
      <c r="N356" s="4" t="s">
        <v>34</v>
      </c>
      <c r="O356" s="4" t="s">
        <v>34</v>
      </c>
      <c r="P356" s="4" t="s">
        <v>49</v>
      </c>
      <c r="Q356" s="4" t="s">
        <v>36</v>
      </c>
      <c r="R356" s="5" t="s">
        <v>153</v>
      </c>
    </row>
    <row r="357" spans="1:18" x14ac:dyDescent="0.3">
      <c r="A357" t="s">
        <v>201</v>
      </c>
      <c r="B357" t="s">
        <v>202</v>
      </c>
      <c r="C357" t="s">
        <v>203</v>
      </c>
      <c r="D357">
        <v>22</v>
      </c>
      <c r="E357">
        <v>1</v>
      </c>
      <c r="F357" t="s">
        <v>129</v>
      </c>
      <c r="G357" t="s">
        <v>108</v>
      </c>
      <c r="H357" t="s">
        <v>130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35</v>
      </c>
      <c r="Q357" t="s">
        <v>36</v>
      </c>
      <c r="R357" s="1" t="s">
        <v>63</v>
      </c>
    </row>
    <row r="358" spans="1:18" x14ac:dyDescent="0.3">
      <c r="A358" s="4" t="s">
        <v>201</v>
      </c>
      <c r="B358" s="4" t="s">
        <v>202</v>
      </c>
      <c r="C358" s="4" t="s">
        <v>203</v>
      </c>
      <c r="D358" s="4">
        <v>28</v>
      </c>
      <c r="E358" s="4">
        <v>1</v>
      </c>
      <c r="F358" s="4" t="s">
        <v>129</v>
      </c>
      <c r="G358" s="4" t="s">
        <v>46</v>
      </c>
      <c r="H358" s="4" t="s">
        <v>204</v>
      </c>
      <c r="I358" s="4" t="s">
        <v>34</v>
      </c>
      <c r="J358" s="4" t="s">
        <v>34</v>
      </c>
      <c r="K358" s="4" t="s">
        <v>34</v>
      </c>
      <c r="L358" s="4" t="s">
        <v>34</v>
      </c>
      <c r="M358" s="4" t="s">
        <v>34</v>
      </c>
      <c r="N358" s="4" t="s">
        <v>34</v>
      </c>
      <c r="O358" s="4" t="s">
        <v>34</v>
      </c>
      <c r="P358" s="4" t="s">
        <v>35</v>
      </c>
      <c r="Q358" s="4" t="s">
        <v>36</v>
      </c>
      <c r="R358" s="5" t="s">
        <v>38</v>
      </c>
    </row>
    <row r="359" spans="1:18" x14ac:dyDescent="0.3">
      <c r="A359" t="s">
        <v>201</v>
      </c>
      <c r="B359" t="s">
        <v>202</v>
      </c>
      <c r="C359" t="s">
        <v>203</v>
      </c>
      <c r="D359">
        <v>33</v>
      </c>
      <c r="E359">
        <v>1</v>
      </c>
      <c r="F359" t="s">
        <v>37</v>
      </c>
      <c r="G359" t="s">
        <v>46</v>
      </c>
      <c r="H359" t="s">
        <v>33</v>
      </c>
      <c r="I359" t="s">
        <v>34</v>
      </c>
      <c r="J359" t="s">
        <v>41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35</v>
      </c>
      <c r="Q359" t="s">
        <v>36</v>
      </c>
      <c r="R359" s="1" t="s">
        <v>102</v>
      </c>
    </row>
    <row r="360" spans="1:18" x14ac:dyDescent="0.3">
      <c r="A360" s="4" t="s">
        <v>201</v>
      </c>
      <c r="B360" s="4" t="s">
        <v>202</v>
      </c>
      <c r="C360" s="4" t="s">
        <v>203</v>
      </c>
      <c r="D360" s="4">
        <v>37</v>
      </c>
      <c r="E360" s="4">
        <v>1</v>
      </c>
      <c r="F360" s="4" t="s">
        <v>129</v>
      </c>
      <c r="G360" s="4" t="s">
        <v>32</v>
      </c>
      <c r="H360" s="4" t="s">
        <v>165</v>
      </c>
      <c r="I360" s="4" t="s">
        <v>34</v>
      </c>
      <c r="J360" s="4" t="s">
        <v>34</v>
      </c>
      <c r="K360" s="4" t="s">
        <v>34</v>
      </c>
      <c r="L360" s="4" t="s">
        <v>34</v>
      </c>
      <c r="M360" s="4" t="s">
        <v>41</v>
      </c>
      <c r="N360" s="4" t="s">
        <v>34</v>
      </c>
      <c r="O360" s="4" t="s">
        <v>34</v>
      </c>
      <c r="P360" s="4" t="s">
        <v>35</v>
      </c>
      <c r="Q360" s="4" t="s">
        <v>36</v>
      </c>
      <c r="R360" s="5" t="s">
        <v>148</v>
      </c>
    </row>
    <row r="361" spans="1:18" x14ac:dyDescent="0.3">
      <c r="A361" t="s">
        <v>201</v>
      </c>
      <c r="B361" t="s">
        <v>202</v>
      </c>
      <c r="C361" t="s">
        <v>203</v>
      </c>
      <c r="D361">
        <v>51</v>
      </c>
      <c r="E361">
        <v>1</v>
      </c>
      <c r="F361" t="s">
        <v>205</v>
      </c>
      <c r="G361" t="s">
        <v>67</v>
      </c>
      <c r="H361" t="s">
        <v>50</v>
      </c>
      <c r="I361" t="s">
        <v>34</v>
      </c>
      <c r="J361" t="s">
        <v>41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35</v>
      </c>
      <c r="Q361" t="s">
        <v>36</v>
      </c>
      <c r="R361" s="1" t="s">
        <v>63</v>
      </c>
    </row>
    <row r="362" spans="1:18" x14ac:dyDescent="0.3">
      <c r="A362" s="4" t="s">
        <v>201</v>
      </c>
      <c r="B362" s="4" t="s">
        <v>202</v>
      </c>
      <c r="C362" s="4" t="s">
        <v>203</v>
      </c>
      <c r="D362" s="4">
        <v>65</v>
      </c>
      <c r="E362" s="4">
        <v>2</v>
      </c>
      <c r="F362" s="4" t="s">
        <v>42</v>
      </c>
      <c r="G362" s="4" t="s">
        <v>32</v>
      </c>
      <c r="H362" s="4" t="s">
        <v>142</v>
      </c>
      <c r="I362" s="4" t="s">
        <v>34</v>
      </c>
      <c r="J362" s="4" t="s">
        <v>34</v>
      </c>
      <c r="K362" s="4" t="s">
        <v>41</v>
      </c>
      <c r="L362" s="4" t="s">
        <v>34</v>
      </c>
      <c r="M362" s="4" t="s">
        <v>41</v>
      </c>
      <c r="N362" s="4" t="s">
        <v>34</v>
      </c>
      <c r="O362" s="4" t="s">
        <v>34</v>
      </c>
      <c r="P362" s="4" t="s">
        <v>49</v>
      </c>
      <c r="Q362" s="4" t="s">
        <v>36</v>
      </c>
      <c r="R362" s="5" t="s">
        <v>148</v>
      </c>
    </row>
    <row r="363" spans="1:18" x14ac:dyDescent="0.3">
      <c r="A363" t="s">
        <v>201</v>
      </c>
      <c r="B363" t="s">
        <v>202</v>
      </c>
      <c r="C363" t="s">
        <v>203</v>
      </c>
      <c r="D363">
        <v>68</v>
      </c>
      <c r="E363">
        <v>1</v>
      </c>
      <c r="F363" t="s">
        <v>42</v>
      </c>
      <c r="G363" t="s">
        <v>46</v>
      </c>
      <c r="H363" t="s">
        <v>40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49</v>
      </c>
      <c r="Q363" t="s">
        <v>36</v>
      </c>
      <c r="R363" s="1" t="s">
        <v>63</v>
      </c>
    </row>
    <row r="364" spans="1:18" x14ac:dyDescent="0.3">
      <c r="A364" s="4" t="s">
        <v>201</v>
      </c>
      <c r="B364" s="4" t="s">
        <v>202</v>
      </c>
      <c r="C364" s="4" t="s">
        <v>203</v>
      </c>
      <c r="D364" s="4">
        <v>69</v>
      </c>
      <c r="E364" s="4">
        <v>1</v>
      </c>
      <c r="F364" s="4" t="s">
        <v>205</v>
      </c>
      <c r="G364" s="4" t="s">
        <v>46</v>
      </c>
      <c r="H364" s="4" t="s">
        <v>50</v>
      </c>
      <c r="I364" s="4" t="s">
        <v>34</v>
      </c>
      <c r="J364" s="4" t="s">
        <v>34</v>
      </c>
      <c r="K364" s="4" t="s">
        <v>34</v>
      </c>
      <c r="L364" s="4" t="s">
        <v>34</v>
      </c>
      <c r="M364" s="4" t="s">
        <v>34</v>
      </c>
      <c r="N364" s="4" t="s">
        <v>34</v>
      </c>
      <c r="O364" s="4" t="s">
        <v>34</v>
      </c>
      <c r="P364" s="4" t="s">
        <v>49</v>
      </c>
      <c r="Q364" s="4" t="s">
        <v>36</v>
      </c>
      <c r="R364" s="5" t="s">
        <v>63</v>
      </c>
    </row>
    <row r="365" spans="1:18" x14ac:dyDescent="0.3">
      <c r="A365" t="s">
        <v>201</v>
      </c>
      <c r="B365" t="s">
        <v>202</v>
      </c>
      <c r="C365" t="s">
        <v>203</v>
      </c>
      <c r="D365">
        <v>77</v>
      </c>
      <c r="E365">
        <v>1</v>
      </c>
      <c r="F365" t="s">
        <v>53</v>
      </c>
      <c r="G365" t="s">
        <v>46</v>
      </c>
      <c r="H365" t="s">
        <v>153</v>
      </c>
      <c r="I365" t="s">
        <v>34</v>
      </c>
      <c r="J365" t="s">
        <v>34</v>
      </c>
      <c r="K365" t="s">
        <v>41</v>
      </c>
      <c r="L365" t="s">
        <v>34</v>
      </c>
      <c r="M365" t="s">
        <v>34</v>
      </c>
      <c r="N365" t="s">
        <v>34</v>
      </c>
      <c r="O365" t="s">
        <v>34</v>
      </c>
      <c r="P365" t="s">
        <v>49</v>
      </c>
      <c r="Q365" t="s">
        <v>36</v>
      </c>
      <c r="R365" s="1" t="s">
        <v>153</v>
      </c>
    </row>
    <row r="366" spans="1:18" x14ac:dyDescent="0.3">
      <c r="A366" s="4" t="s">
        <v>201</v>
      </c>
      <c r="B366" s="4" t="s">
        <v>202</v>
      </c>
      <c r="C366" s="4" t="s">
        <v>203</v>
      </c>
      <c r="D366" s="4">
        <v>85</v>
      </c>
      <c r="E366" s="4">
        <v>3</v>
      </c>
      <c r="F366" s="4" t="s">
        <v>196</v>
      </c>
      <c r="G366" s="4" t="s">
        <v>46</v>
      </c>
      <c r="H366" s="4" t="s">
        <v>55</v>
      </c>
      <c r="I366" s="4" t="s">
        <v>34</v>
      </c>
      <c r="J366" s="4" t="s">
        <v>34</v>
      </c>
      <c r="K366" s="4" t="s">
        <v>34</v>
      </c>
      <c r="L366" s="4" t="s">
        <v>34</v>
      </c>
      <c r="M366" s="4" t="s">
        <v>34</v>
      </c>
      <c r="N366" s="4" t="s">
        <v>34</v>
      </c>
      <c r="O366" s="4" t="s">
        <v>34</v>
      </c>
      <c r="P366" s="4" t="s">
        <v>35</v>
      </c>
      <c r="Q366" s="4" t="s">
        <v>56</v>
      </c>
      <c r="R366" s="5" t="s">
        <v>47</v>
      </c>
    </row>
    <row r="367" spans="1:18" x14ac:dyDescent="0.3">
      <c r="A367" t="s">
        <v>201</v>
      </c>
      <c r="B367" t="s">
        <v>202</v>
      </c>
      <c r="C367" t="s">
        <v>203</v>
      </c>
      <c r="D367">
        <v>92</v>
      </c>
      <c r="E367">
        <v>3</v>
      </c>
      <c r="F367" t="s">
        <v>37</v>
      </c>
      <c r="G367" t="s">
        <v>46</v>
      </c>
      <c r="H367" t="s">
        <v>33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35</v>
      </c>
      <c r="Q367" t="s">
        <v>56</v>
      </c>
      <c r="R367" s="1" t="s">
        <v>47</v>
      </c>
    </row>
    <row r="368" spans="1:18" x14ac:dyDescent="0.3">
      <c r="A368" s="4" t="s">
        <v>201</v>
      </c>
      <c r="B368" s="4" t="s">
        <v>202</v>
      </c>
      <c r="C368" s="4" t="s">
        <v>203</v>
      </c>
      <c r="D368" s="4">
        <v>94</v>
      </c>
      <c r="E368" s="4">
        <v>1</v>
      </c>
      <c r="F368" s="4" t="s">
        <v>37</v>
      </c>
      <c r="G368" s="4" t="s">
        <v>32</v>
      </c>
      <c r="H368" s="4" t="s">
        <v>33</v>
      </c>
      <c r="I368" s="4" t="s">
        <v>34</v>
      </c>
      <c r="J368" s="4" t="s">
        <v>34</v>
      </c>
      <c r="K368" s="4" t="s">
        <v>41</v>
      </c>
      <c r="L368" s="4" t="s">
        <v>34</v>
      </c>
      <c r="M368" s="4" t="s">
        <v>34</v>
      </c>
      <c r="N368" s="4" t="s">
        <v>34</v>
      </c>
      <c r="O368" s="4" t="s">
        <v>34</v>
      </c>
      <c r="P368" s="4" t="s">
        <v>35</v>
      </c>
      <c r="Q368" s="4" t="s">
        <v>56</v>
      </c>
      <c r="R368" s="5" t="s">
        <v>170</v>
      </c>
    </row>
    <row r="369" spans="1:18" x14ac:dyDescent="0.3">
      <c r="A369" t="s">
        <v>201</v>
      </c>
      <c r="B369" t="s">
        <v>202</v>
      </c>
      <c r="C369" t="s">
        <v>203</v>
      </c>
      <c r="D369">
        <v>100</v>
      </c>
      <c r="E369">
        <v>1</v>
      </c>
      <c r="F369" t="s">
        <v>53</v>
      </c>
      <c r="G369" t="s">
        <v>108</v>
      </c>
      <c r="H369" t="s">
        <v>153</v>
      </c>
      <c r="I369" t="s">
        <v>34</v>
      </c>
      <c r="J369" t="s">
        <v>34</v>
      </c>
      <c r="K369" t="s">
        <v>41</v>
      </c>
      <c r="L369" t="s">
        <v>34</v>
      </c>
      <c r="M369" t="s">
        <v>34</v>
      </c>
      <c r="N369" t="s">
        <v>34</v>
      </c>
      <c r="O369" t="s">
        <v>34</v>
      </c>
      <c r="P369" t="s">
        <v>49</v>
      </c>
      <c r="Q369" t="s">
        <v>56</v>
      </c>
      <c r="R369" s="1" t="s">
        <v>153</v>
      </c>
    </row>
    <row r="370" spans="1:18" x14ac:dyDescent="0.3">
      <c r="A370" s="4" t="s">
        <v>201</v>
      </c>
      <c r="B370" s="4" t="s">
        <v>202</v>
      </c>
      <c r="C370" s="4" t="s">
        <v>203</v>
      </c>
      <c r="D370" s="4">
        <v>108</v>
      </c>
      <c r="E370" s="4">
        <v>1</v>
      </c>
      <c r="F370" s="4" t="s">
        <v>129</v>
      </c>
      <c r="G370" s="4" t="s">
        <v>108</v>
      </c>
      <c r="H370" s="4" t="s">
        <v>130</v>
      </c>
      <c r="I370" s="4" t="s">
        <v>34</v>
      </c>
      <c r="J370" s="4" t="s">
        <v>34</v>
      </c>
      <c r="K370" s="4" t="s">
        <v>34</v>
      </c>
      <c r="L370" s="4" t="s">
        <v>34</v>
      </c>
      <c r="M370" s="4" t="s">
        <v>34</v>
      </c>
      <c r="N370" s="4" t="s">
        <v>34</v>
      </c>
      <c r="O370" s="4" t="s">
        <v>34</v>
      </c>
      <c r="P370" s="4" t="s">
        <v>35</v>
      </c>
      <c r="Q370" s="4" t="s">
        <v>56</v>
      </c>
      <c r="R370" s="5" t="s">
        <v>150</v>
      </c>
    </row>
    <row r="371" spans="1:18" x14ac:dyDescent="0.3">
      <c r="A371" t="s">
        <v>201</v>
      </c>
      <c r="B371" t="s">
        <v>202</v>
      </c>
      <c r="C371" t="s">
        <v>203</v>
      </c>
      <c r="D371">
        <v>117</v>
      </c>
      <c r="E371">
        <v>2</v>
      </c>
      <c r="F371" t="s">
        <v>42</v>
      </c>
      <c r="G371" t="s">
        <v>46</v>
      </c>
      <c r="H371" t="s">
        <v>138</v>
      </c>
      <c r="I371" t="s">
        <v>34</v>
      </c>
      <c r="J371" t="s">
        <v>34</v>
      </c>
      <c r="K371" t="s">
        <v>41</v>
      </c>
      <c r="L371" t="s">
        <v>34</v>
      </c>
      <c r="M371" t="s">
        <v>41</v>
      </c>
      <c r="N371" t="s">
        <v>34</v>
      </c>
      <c r="O371" t="s">
        <v>34</v>
      </c>
      <c r="P371" t="s">
        <v>35</v>
      </c>
      <c r="Q371" t="s">
        <v>56</v>
      </c>
      <c r="R371" s="1" t="s">
        <v>47</v>
      </c>
    </row>
    <row r="372" spans="1:18" x14ac:dyDescent="0.3">
      <c r="A372" s="4" t="s">
        <v>201</v>
      </c>
      <c r="B372" s="4" t="s">
        <v>202</v>
      </c>
      <c r="C372" s="4" t="s">
        <v>203</v>
      </c>
      <c r="D372" s="4">
        <v>125</v>
      </c>
      <c r="E372" s="4">
        <v>3</v>
      </c>
      <c r="F372" s="4" t="s">
        <v>153</v>
      </c>
      <c r="G372" s="4" t="s">
        <v>100</v>
      </c>
      <c r="H372" s="4" t="s">
        <v>153</v>
      </c>
      <c r="I372" s="4" t="s">
        <v>34</v>
      </c>
      <c r="J372" s="4" t="s">
        <v>34</v>
      </c>
      <c r="K372" s="4" t="s">
        <v>41</v>
      </c>
      <c r="L372" s="4" t="s">
        <v>41</v>
      </c>
      <c r="M372" s="4" t="s">
        <v>34</v>
      </c>
      <c r="N372" s="4" t="s">
        <v>34</v>
      </c>
      <c r="O372" s="4" t="s">
        <v>41</v>
      </c>
      <c r="P372" s="4" t="s">
        <v>49</v>
      </c>
      <c r="Q372" s="4" t="s">
        <v>56</v>
      </c>
      <c r="R372" s="5" t="s">
        <v>153</v>
      </c>
    </row>
    <row r="373" spans="1:18" x14ac:dyDescent="0.3">
      <c r="A373" t="s">
        <v>201</v>
      </c>
      <c r="B373" t="s">
        <v>202</v>
      </c>
      <c r="C373" t="s">
        <v>203</v>
      </c>
      <c r="D373">
        <v>134</v>
      </c>
      <c r="E373">
        <v>1</v>
      </c>
      <c r="F373" t="s">
        <v>58</v>
      </c>
      <c r="G373" t="s">
        <v>46</v>
      </c>
      <c r="H373" t="s">
        <v>206</v>
      </c>
      <c r="I373" t="s">
        <v>34</v>
      </c>
      <c r="J373" t="s">
        <v>41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35</v>
      </c>
      <c r="Q373" t="s">
        <v>56</v>
      </c>
      <c r="R373" s="1" t="s">
        <v>207</v>
      </c>
    </row>
    <row r="374" spans="1:18" x14ac:dyDescent="0.3">
      <c r="A374" s="4" t="s">
        <v>201</v>
      </c>
      <c r="B374" s="4" t="s">
        <v>202</v>
      </c>
      <c r="C374" s="4" t="s">
        <v>203</v>
      </c>
      <c r="D374" s="4">
        <v>152</v>
      </c>
      <c r="E374" s="4">
        <v>1</v>
      </c>
      <c r="F374" s="4" t="s">
        <v>53</v>
      </c>
      <c r="G374" s="4" t="s">
        <v>32</v>
      </c>
      <c r="H374" s="4" t="s">
        <v>153</v>
      </c>
      <c r="I374" s="4" t="s">
        <v>34</v>
      </c>
      <c r="J374" s="4" t="s">
        <v>34</v>
      </c>
      <c r="K374" s="4" t="s">
        <v>41</v>
      </c>
      <c r="L374" s="4" t="s">
        <v>34</v>
      </c>
      <c r="M374" s="4" t="s">
        <v>34</v>
      </c>
      <c r="N374" s="4" t="s">
        <v>34</v>
      </c>
      <c r="O374" s="4" t="s">
        <v>34</v>
      </c>
      <c r="P374" s="4" t="s">
        <v>35</v>
      </c>
      <c r="Q374" s="4" t="s">
        <v>56</v>
      </c>
      <c r="R374" s="5" t="s">
        <v>153</v>
      </c>
    </row>
    <row r="375" spans="1:18" x14ac:dyDescent="0.3">
      <c r="A375" t="s">
        <v>201</v>
      </c>
      <c r="B375" t="s">
        <v>202</v>
      </c>
      <c r="C375" t="s">
        <v>203</v>
      </c>
      <c r="D375">
        <v>177</v>
      </c>
      <c r="E375">
        <v>1</v>
      </c>
      <c r="F375" t="s">
        <v>153</v>
      </c>
      <c r="G375" t="s">
        <v>32</v>
      </c>
      <c r="H375" t="s">
        <v>153</v>
      </c>
      <c r="I375" t="s">
        <v>34</v>
      </c>
      <c r="J375" t="s">
        <v>34</v>
      </c>
      <c r="K375" t="s">
        <v>41</v>
      </c>
      <c r="L375" t="s">
        <v>41</v>
      </c>
      <c r="M375" t="s">
        <v>34</v>
      </c>
      <c r="N375" t="s">
        <v>34</v>
      </c>
      <c r="O375" t="s">
        <v>34</v>
      </c>
      <c r="P375" t="s">
        <v>49</v>
      </c>
      <c r="Q375" t="s">
        <v>36</v>
      </c>
      <c r="R375" s="1" t="s">
        <v>153</v>
      </c>
    </row>
    <row r="376" spans="1:18" x14ac:dyDescent="0.3">
      <c r="A376" s="4" t="s">
        <v>211</v>
      </c>
      <c r="B376" s="4" t="s">
        <v>212</v>
      </c>
      <c r="C376" s="4" t="s">
        <v>210</v>
      </c>
      <c r="D376" s="4">
        <v>12</v>
      </c>
      <c r="E376" s="4">
        <v>1</v>
      </c>
      <c r="F376" s="4" t="s">
        <v>37</v>
      </c>
      <c r="G376" s="4" t="s">
        <v>67</v>
      </c>
      <c r="H376" s="4" t="s">
        <v>105</v>
      </c>
      <c r="I376" s="4" t="s">
        <v>34</v>
      </c>
      <c r="J376" s="4" t="s">
        <v>41</v>
      </c>
      <c r="K376" s="4" t="s">
        <v>34</v>
      </c>
      <c r="L376" s="4" t="s">
        <v>34</v>
      </c>
      <c r="M376" s="4" t="s">
        <v>34</v>
      </c>
      <c r="N376" s="4" t="s">
        <v>34</v>
      </c>
      <c r="O376" s="4" t="s">
        <v>34</v>
      </c>
      <c r="P376" s="4" t="s">
        <v>35</v>
      </c>
      <c r="Q376" s="4" t="s">
        <v>36</v>
      </c>
      <c r="R376" s="5" t="s">
        <v>290</v>
      </c>
    </row>
    <row r="377" spans="1:18" x14ac:dyDescent="0.3">
      <c r="A377" t="s">
        <v>211</v>
      </c>
      <c r="B377" t="s">
        <v>212</v>
      </c>
      <c r="C377" t="s">
        <v>210</v>
      </c>
      <c r="D377">
        <v>22</v>
      </c>
      <c r="E377">
        <v>1</v>
      </c>
      <c r="F377" t="s">
        <v>37</v>
      </c>
      <c r="G377" t="s">
        <v>67</v>
      </c>
      <c r="H377" t="s">
        <v>33</v>
      </c>
      <c r="I377" t="s">
        <v>34</v>
      </c>
      <c r="J377" t="s">
        <v>41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35</v>
      </c>
      <c r="Q377" t="s">
        <v>36</v>
      </c>
      <c r="R377" s="1" t="s">
        <v>38</v>
      </c>
    </row>
    <row r="378" spans="1:18" x14ac:dyDescent="0.3">
      <c r="A378" s="4" t="s">
        <v>211</v>
      </c>
      <c r="B378" s="4" t="s">
        <v>212</v>
      </c>
      <c r="C378" s="4" t="s">
        <v>210</v>
      </c>
      <c r="D378" s="4">
        <v>31</v>
      </c>
      <c r="E378" s="4">
        <v>1</v>
      </c>
      <c r="F378" s="4" t="s">
        <v>42</v>
      </c>
      <c r="G378" s="4" t="s">
        <v>67</v>
      </c>
      <c r="H378" s="4" t="s">
        <v>142</v>
      </c>
      <c r="I378" s="4" t="s">
        <v>34</v>
      </c>
      <c r="J378" s="4" t="s">
        <v>34</v>
      </c>
      <c r="K378" s="4" t="s">
        <v>34</v>
      </c>
      <c r="L378" s="4" t="s">
        <v>34</v>
      </c>
      <c r="M378" s="4" t="s">
        <v>34</v>
      </c>
      <c r="N378" s="4" t="s">
        <v>34</v>
      </c>
      <c r="O378" s="4" t="s">
        <v>34</v>
      </c>
      <c r="P378" s="4" t="s">
        <v>49</v>
      </c>
      <c r="Q378" s="4" t="s">
        <v>36</v>
      </c>
      <c r="R378" s="5" t="s">
        <v>66</v>
      </c>
    </row>
    <row r="379" spans="1:18" x14ac:dyDescent="0.3">
      <c r="A379" t="s">
        <v>211</v>
      </c>
      <c r="B379" t="s">
        <v>212</v>
      </c>
      <c r="C379" t="s">
        <v>210</v>
      </c>
      <c r="D379">
        <v>34</v>
      </c>
      <c r="E379">
        <v>1</v>
      </c>
      <c r="F379" t="s">
        <v>129</v>
      </c>
      <c r="G379" t="s">
        <v>67</v>
      </c>
      <c r="H379" t="s">
        <v>50</v>
      </c>
      <c r="I379" t="s">
        <v>41</v>
      </c>
      <c r="J379" t="s">
        <v>41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49</v>
      </c>
      <c r="Q379" t="s">
        <v>36</v>
      </c>
      <c r="R379" s="1" t="s">
        <v>47</v>
      </c>
    </row>
    <row r="380" spans="1:18" x14ac:dyDescent="0.3">
      <c r="A380" s="4" t="s">
        <v>211</v>
      </c>
      <c r="B380" s="4" t="s">
        <v>212</v>
      </c>
      <c r="C380" s="4" t="s">
        <v>210</v>
      </c>
      <c r="D380" s="4">
        <v>36</v>
      </c>
      <c r="E380" s="4">
        <v>1</v>
      </c>
      <c r="F380" s="4" t="s">
        <v>42</v>
      </c>
      <c r="G380" s="4" t="s">
        <v>67</v>
      </c>
      <c r="H380" s="4" t="s">
        <v>40</v>
      </c>
      <c r="I380" s="4" t="s">
        <v>34</v>
      </c>
      <c r="J380" s="4" t="s">
        <v>34</v>
      </c>
      <c r="K380" s="4" t="s">
        <v>34</v>
      </c>
      <c r="L380" s="4" t="s">
        <v>34</v>
      </c>
      <c r="M380" s="4" t="s">
        <v>34</v>
      </c>
      <c r="N380" s="4" t="s">
        <v>34</v>
      </c>
      <c r="O380" s="4" t="s">
        <v>34</v>
      </c>
      <c r="P380" s="4" t="s">
        <v>49</v>
      </c>
      <c r="Q380" s="4" t="s">
        <v>36</v>
      </c>
      <c r="R380" s="5" t="s">
        <v>63</v>
      </c>
    </row>
    <row r="381" spans="1:18" x14ac:dyDescent="0.3">
      <c r="A381" t="s">
        <v>211</v>
      </c>
      <c r="B381" t="s">
        <v>212</v>
      </c>
      <c r="C381" t="s">
        <v>210</v>
      </c>
      <c r="D381">
        <v>43</v>
      </c>
      <c r="E381">
        <v>1</v>
      </c>
      <c r="F381" t="s">
        <v>42</v>
      </c>
      <c r="G381" t="s">
        <v>46</v>
      </c>
      <c r="H381" t="s">
        <v>40</v>
      </c>
      <c r="I381" t="s">
        <v>34</v>
      </c>
      <c r="J381" t="s">
        <v>41</v>
      </c>
      <c r="K381" t="s">
        <v>34</v>
      </c>
      <c r="L381" t="s">
        <v>41</v>
      </c>
      <c r="M381" t="s">
        <v>34</v>
      </c>
      <c r="N381" t="s">
        <v>34</v>
      </c>
      <c r="O381" t="s">
        <v>34</v>
      </c>
      <c r="P381" t="s">
        <v>49</v>
      </c>
      <c r="Q381" t="s">
        <v>36</v>
      </c>
      <c r="R381" s="1" t="s">
        <v>291</v>
      </c>
    </row>
    <row r="382" spans="1:18" x14ac:dyDescent="0.3">
      <c r="A382" s="4" t="s">
        <v>211</v>
      </c>
      <c r="B382" s="4" t="s">
        <v>212</v>
      </c>
      <c r="C382" s="4" t="s">
        <v>210</v>
      </c>
      <c r="D382" s="4">
        <v>53</v>
      </c>
      <c r="E382" s="4">
        <v>1</v>
      </c>
      <c r="F382" s="4" t="s">
        <v>37</v>
      </c>
      <c r="G382" s="4" t="s">
        <v>46</v>
      </c>
      <c r="H382" s="4" t="s">
        <v>33</v>
      </c>
      <c r="I382" s="4" t="s">
        <v>34</v>
      </c>
      <c r="J382" s="4" t="s">
        <v>41</v>
      </c>
      <c r="K382" s="4" t="s">
        <v>34</v>
      </c>
      <c r="L382" s="4" t="s">
        <v>34</v>
      </c>
      <c r="M382" s="4" t="s">
        <v>34</v>
      </c>
      <c r="N382" s="4" t="s">
        <v>34</v>
      </c>
      <c r="O382" s="4" t="s">
        <v>34</v>
      </c>
      <c r="P382" s="4" t="s">
        <v>35</v>
      </c>
      <c r="Q382" s="4" t="s">
        <v>36</v>
      </c>
      <c r="R382" s="5" t="s">
        <v>63</v>
      </c>
    </row>
    <row r="383" spans="1:18" x14ac:dyDescent="0.3">
      <c r="A383" t="s">
        <v>211</v>
      </c>
      <c r="B383" t="s">
        <v>212</v>
      </c>
      <c r="C383" t="s">
        <v>210</v>
      </c>
      <c r="D383">
        <v>63</v>
      </c>
      <c r="E383">
        <v>1</v>
      </c>
      <c r="F383" t="s">
        <v>37</v>
      </c>
      <c r="G383" t="s">
        <v>32</v>
      </c>
      <c r="H383" t="s">
        <v>105</v>
      </c>
      <c r="I383" t="s">
        <v>34</v>
      </c>
      <c r="J383" t="s">
        <v>41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35</v>
      </c>
      <c r="Q383" t="s">
        <v>36</v>
      </c>
      <c r="R383" s="1" t="s">
        <v>48</v>
      </c>
    </row>
    <row r="384" spans="1:18" x14ac:dyDescent="0.3">
      <c r="A384" s="4" t="s">
        <v>211</v>
      </c>
      <c r="B384" s="4" t="s">
        <v>212</v>
      </c>
      <c r="C384" s="4" t="s">
        <v>210</v>
      </c>
      <c r="D384" s="4">
        <v>65</v>
      </c>
      <c r="E384" s="4">
        <v>1</v>
      </c>
      <c r="F384" s="4" t="s">
        <v>37</v>
      </c>
      <c r="G384" s="4" t="s">
        <v>67</v>
      </c>
      <c r="H384" s="4" t="s">
        <v>33</v>
      </c>
      <c r="I384" s="4" t="s">
        <v>34</v>
      </c>
      <c r="J384" s="4" t="s">
        <v>41</v>
      </c>
      <c r="K384" s="4" t="s">
        <v>34</v>
      </c>
      <c r="L384" s="4" t="s">
        <v>34</v>
      </c>
      <c r="M384" s="4" t="s">
        <v>34</v>
      </c>
      <c r="N384" s="4" t="s">
        <v>34</v>
      </c>
      <c r="O384" s="4" t="s">
        <v>34</v>
      </c>
      <c r="P384" s="4" t="s">
        <v>35</v>
      </c>
      <c r="Q384" s="4" t="s">
        <v>36</v>
      </c>
      <c r="R384" s="5" t="s">
        <v>47</v>
      </c>
    </row>
    <row r="385" spans="1:18" x14ac:dyDescent="0.3">
      <c r="A385" t="s">
        <v>211</v>
      </c>
      <c r="B385" t="s">
        <v>212</v>
      </c>
      <c r="C385" t="s">
        <v>210</v>
      </c>
      <c r="D385">
        <v>67</v>
      </c>
      <c r="E385">
        <v>1</v>
      </c>
      <c r="F385" t="s">
        <v>37</v>
      </c>
      <c r="G385" t="s">
        <v>67</v>
      </c>
      <c r="H385" t="s">
        <v>33</v>
      </c>
      <c r="I385" t="s">
        <v>34</v>
      </c>
      <c r="J385" t="s">
        <v>41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35</v>
      </c>
      <c r="Q385" t="s">
        <v>36</v>
      </c>
      <c r="R385" s="1" t="s">
        <v>99</v>
      </c>
    </row>
    <row r="386" spans="1:18" x14ac:dyDescent="0.3">
      <c r="A386" s="4" t="s">
        <v>211</v>
      </c>
      <c r="B386" s="4" t="s">
        <v>212</v>
      </c>
      <c r="C386" s="4" t="s">
        <v>210</v>
      </c>
      <c r="D386" s="4">
        <v>79</v>
      </c>
      <c r="E386" s="4">
        <v>1</v>
      </c>
      <c r="F386" s="4" t="s">
        <v>129</v>
      </c>
      <c r="G386" s="4" t="s">
        <v>46</v>
      </c>
      <c r="H386" s="4" t="s">
        <v>214</v>
      </c>
      <c r="I386" s="4" t="s">
        <v>41</v>
      </c>
      <c r="J386" s="4" t="s">
        <v>34</v>
      </c>
      <c r="K386" s="4" t="s">
        <v>34</v>
      </c>
      <c r="L386" s="4" t="s">
        <v>34</v>
      </c>
      <c r="M386" s="4" t="s">
        <v>34</v>
      </c>
      <c r="N386" s="4" t="s">
        <v>34</v>
      </c>
      <c r="O386" s="4" t="s">
        <v>34</v>
      </c>
      <c r="P386" s="4" t="s">
        <v>49</v>
      </c>
      <c r="Q386" s="4" t="s">
        <v>36</v>
      </c>
      <c r="R386" s="5" t="s">
        <v>153</v>
      </c>
    </row>
    <row r="387" spans="1:18" x14ac:dyDescent="0.3">
      <c r="A387" t="s">
        <v>211</v>
      </c>
      <c r="B387" t="s">
        <v>212</v>
      </c>
      <c r="C387" t="s">
        <v>210</v>
      </c>
      <c r="D387">
        <v>83</v>
      </c>
      <c r="E387">
        <v>1</v>
      </c>
      <c r="F387" t="s">
        <v>42</v>
      </c>
      <c r="G387" t="s">
        <v>67</v>
      </c>
      <c r="H387" t="s">
        <v>40</v>
      </c>
      <c r="I387" t="s">
        <v>34</v>
      </c>
      <c r="J387" t="s">
        <v>34</v>
      </c>
      <c r="K387" t="s">
        <v>41</v>
      </c>
      <c r="L387" t="s">
        <v>34</v>
      </c>
      <c r="M387" t="s">
        <v>34</v>
      </c>
      <c r="N387" t="s">
        <v>34</v>
      </c>
      <c r="O387" t="s">
        <v>34</v>
      </c>
      <c r="P387" t="s">
        <v>49</v>
      </c>
      <c r="Q387" t="s">
        <v>36</v>
      </c>
      <c r="R387" s="1" t="s">
        <v>63</v>
      </c>
    </row>
    <row r="388" spans="1:18" x14ac:dyDescent="0.3">
      <c r="A388" s="4" t="s">
        <v>208</v>
      </c>
      <c r="B388" s="4" t="s">
        <v>209</v>
      </c>
      <c r="C388" s="4" t="s">
        <v>210</v>
      </c>
      <c r="D388" s="4">
        <v>7</v>
      </c>
      <c r="E388" s="4">
        <v>1</v>
      </c>
      <c r="F388" s="4" t="s">
        <v>58</v>
      </c>
      <c r="G388" s="4" t="s">
        <v>67</v>
      </c>
      <c r="H388" s="4" t="s">
        <v>111</v>
      </c>
      <c r="I388" s="4" t="s">
        <v>34</v>
      </c>
      <c r="J388" s="4" t="s">
        <v>41</v>
      </c>
      <c r="K388" s="4" t="s">
        <v>34</v>
      </c>
      <c r="L388" s="4" t="s">
        <v>41</v>
      </c>
      <c r="M388" s="4" t="s">
        <v>34</v>
      </c>
      <c r="N388" s="4" t="s">
        <v>41</v>
      </c>
      <c r="O388" s="4" t="s">
        <v>34</v>
      </c>
      <c r="P388" s="4" t="s">
        <v>49</v>
      </c>
      <c r="Q388" s="4" t="s">
        <v>36</v>
      </c>
      <c r="R388" s="5" t="s">
        <v>215</v>
      </c>
    </row>
    <row r="389" spans="1:18" x14ac:dyDescent="0.3">
      <c r="A389" t="s">
        <v>208</v>
      </c>
      <c r="B389" t="s">
        <v>209</v>
      </c>
      <c r="C389" t="s">
        <v>210</v>
      </c>
      <c r="D389">
        <v>12</v>
      </c>
      <c r="E389">
        <v>1</v>
      </c>
      <c r="F389" t="s">
        <v>42</v>
      </c>
      <c r="G389" t="s">
        <v>32</v>
      </c>
      <c r="H389" t="s">
        <v>160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49</v>
      </c>
      <c r="Q389" t="s">
        <v>36</v>
      </c>
      <c r="R389" s="1" t="s">
        <v>54</v>
      </c>
    </row>
    <row r="390" spans="1:18" x14ac:dyDescent="0.3">
      <c r="A390" s="4" t="s">
        <v>208</v>
      </c>
      <c r="B390" s="4" t="s">
        <v>209</v>
      </c>
      <c r="C390" s="4" t="s">
        <v>210</v>
      </c>
      <c r="D390" s="4">
        <v>13</v>
      </c>
      <c r="E390" s="4">
        <v>3</v>
      </c>
      <c r="F390" s="4" t="s">
        <v>37</v>
      </c>
      <c r="G390" s="4" t="s">
        <v>46</v>
      </c>
      <c r="H390" s="4" t="s">
        <v>33</v>
      </c>
      <c r="I390" s="4" t="s">
        <v>34</v>
      </c>
      <c r="J390" s="4" t="s">
        <v>41</v>
      </c>
      <c r="K390" s="4" t="s">
        <v>34</v>
      </c>
      <c r="L390" s="4" t="s">
        <v>34</v>
      </c>
      <c r="M390" s="4" t="s">
        <v>34</v>
      </c>
      <c r="N390" s="4" t="s">
        <v>34</v>
      </c>
      <c r="O390" s="4" t="s">
        <v>34</v>
      </c>
      <c r="P390" s="4" t="s">
        <v>35</v>
      </c>
      <c r="Q390" s="4" t="s">
        <v>36</v>
      </c>
      <c r="R390" s="5" t="s">
        <v>48</v>
      </c>
    </row>
    <row r="391" spans="1:18" x14ac:dyDescent="0.3">
      <c r="A391" t="s">
        <v>208</v>
      </c>
      <c r="B391" t="s">
        <v>209</v>
      </c>
      <c r="C391" t="s">
        <v>210</v>
      </c>
      <c r="D391">
        <v>24</v>
      </c>
      <c r="E391">
        <v>2</v>
      </c>
      <c r="F391" t="s">
        <v>129</v>
      </c>
      <c r="G391" t="s">
        <v>46</v>
      </c>
      <c r="H391" t="s">
        <v>130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49</v>
      </c>
      <c r="Q391" t="s">
        <v>36</v>
      </c>
      <c r="R391" s="1" t="s">
        <v>38</v>
      </c>
    </row>
    <row r="392" spans="1:18" x14ac:dyDescent="0.3">
      <c r="A392" s="4" t="s">
        <v>208</v>
      </c>
      <c r="B392" s="4" t="s">
        <v>209</v>
      </c>
      <c r="C392" s="4" t="s">
        <v>210</v>
      </c>
      <c r="D392" s="4">
        <v>25</v>
      </c>
      <c r="E392" s="4">
        <v>1</v>
      </c>
      <c r="F392" s="4" t="s">
        <v>42</v>
      </c>
      <c r="G392" s="4" t="s">
        <v>32</v>
      </c>
      <c r="H392" s="4" t="s">
        <v>142</v>
      </c>
      <c r="I392" s="4" t="s">
        <v>34</v>
      </c>
      <c r="J392" s="4" t="s">
        <v>34</v>
      </c>
      <c r="K392" s="4" t="s">
        <v>34</v>
      </c>
      <c r="L392" s="4" t="s">
        <v>34</v>
      </c>
      <c r="M392" s="4" t="s">
        <v>34</v>
      </c>
      <c r="N392" s="4" t="s">
        <v>34</v>
      </c>
      <c r="O392" s="4" t="s">
        <v>34</v>
      </c>
      <c r="P392" s="4" t="s">
        <v>49</v>
      </c>
      <c r="Q392" s="4" t="s">
        <v>36</v>
      </c>
      <c r="R392" s="5" t="s">
        <v>161</v>
      </c>
    </row>
    <row r="393" spans="1:18" x14ac:dyDescent="0.3">
      <c r="A393" t="s">
        <v>208</v>
      </c>
      <c r="B393" t="s">
        <v>209</v>
      </c>
      <c r="C393" t="s">
        <v>210</v>
      </c>
      <c r="D393">
        <v>32</v>
      </c>
      <c r="E393">
        <v>1</v>
      </c>
      <c r="F393" t="s">
        <v>42</v>
      </c>
      <c r="G393" t="s">
        <v>32</v>
      </c>
      <c r="H393" t="s">
        <v>160</v>
      </c>
      <c r="I393" t="s">
        <v>34</v>
      </c>
      <c r="J393" t="s">
        <v>41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49</v>
      </c>
      <c r="Q393" t="s">
        <v>36</v>
      </c>
      <c r="R393" s="1" t="s">
        <v>54</v>
      </c>
    </row>
    <row r="394" spans="1:18" x14ac:dyDescent="0.3">
      <c r="A394" s="4" t="s">
        <v>208</v>
      </c>
      <c r="B394" s="4" t="s">
        <v>209</v>
      </c>
      <c r="C394" s="4" t="s">
        <v>210</v>
      </c>
      <c r="D394" s="4">
        <v>39</v>
      </c>
      <c r="E394" s="4">
        <v>1</v>
      </c>
      <c r="F394" s="4" t="s">
        <v>37</v>
      </c>
      <c r="G394" s="4" t="s">
        <v>149</v>
      </c>
      <c r="H394" s="4" t="s">
        <v>160</v>
      </c>
      <c r="I394" s="4" t="s">
        <v>34</v>
      </c>
      <c r="J394" s="4" t="s">
        <v>41</v>
      </c>
      <c r="K394" s="4" t="s">
        <v>34</v>
      </c>
      <c r="L394" s="4" t="s">
        <v>34</v>
      </c>
      <c r="M394" s="4" t="s">
        <v>34</v>
      </c>
      <c r="N394" s="4" t="s">
        <v>34</v>
      </c>
      <c r="O394" s="4" t="s">
        <v>34</v>
      </c>
      <c r="P394" s="4" t="s">
        <v>35</v>
      </c>
      <c r="Q394" s="4" t="s">
        <v>36</v>
      </c>
      <c r="R394" s="5" t="s">
        <v>43</v>
      </c>
    </row>
    <row r="395" spans="1:18" x14ac:dyDescent="0.3">
      <c r="A395" t="s">
        <v>208</v>
      </c>
      <c r="B395" t="s">
        <v>209</v>
      </c>
      <c r="C395" t="s">
        <v>210</v>
      </c>
      <c r="D395">
        <v>43</v>
      </c>
      <c r="E395">
        <v>1</v>
      </c>
      <c r="F395" t="s">
        <v>37</v>
      </c>
      <c r="G395" t="s">
        <v>67</v>
      </c>
      <c r="H395" t="s">
        <v>33</v>
      </c>
      <c r="I395" t="s">
        <v>34</v>
      </c>
      <c r="J395" t="s">
        <v>41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35</v>
      </c>
      <c r="Q395" t="s">
        <v>36</v>
      </c>
      <c r="R395" s="1" t="s">
        <v>153</v>
      </c>
    </row>
    <row r="396" spans="1:18" x14ac:dyDescent="0.3">
      <c r="A396" s="4" t="s">
        <v>208</v>
      </c>
      <c r="B396" s="4" t="s">
        <v>209</v>
      </c>
      <c r="C396" s="4" t="s">
        <v>210</v>
      </c>
      <c r="D396" s="4">
        <v>45</v>
      </c>
      <c r="E396" s="4">
        <v>1</v>
      </c>
      <c r="F396" s="4" t="s">
        <v>42</v>
      </c>
      <c r="G396" s="4" t="s">
        <v>32</v>
      </c>
      <c r="H396" s="4" t="s">
        <v>40</v>
      </c>
      <c r="I396" s="4" t="s">
        <v>34</v>
      </c>
      <c r="J396" s="4" t="s">
        <v>34</v>
      </c>
      <c r="K396" s="4" t="s">
        <v>34</v>
      </c>
      <c r="L396" s="4" t="s">
        <v>34</v>
      </c>
      <c r="M396" s="4" t="s">
        <v>34</v>
      </c>
      <c r="N396" s="4" t="s">
        <v>34</v>
      </c>
      <c r="O396" s="4" t="s">
        <v>34</v>
      </c>
      <c r="P396" s="4" t="s">
        <v>49</v>
      </c>
      <c r="Q396" s="4" t="s">
        <v>36</v>
      </c>
      <c r="R396" s="5" t="s">
        <v>38</v>
      </c>
    </row>
    <row r="397" spans="1:18" x14ac:dyDescent="0.3">
      <c r="A397" t="s">
        <v>208</v>
      </c>
      <c r="B397" t="s">
        <v>209</v>
      </c>
      <c r="C397" t="s">
        <v>210</v>
      </c>
      <c r="D397">
        <v>46</v>
      </c>
      <c r="E397">
        <v>3</v>
      </c>
      <c r="F397" t="s">
        <v>42</v>
      </c>
      <c r="G397" t="s">
        <v>32</v>
      </c>
      <c r="H397" t="s">
        <v>101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49</v>
      </c>
      <c r="Q397" t="s">
        <v>36</v>
      </c>
      <c r="R397" s="1" t="s">
        <v>43</v>
      </c>
    </row>
    <row r="398" spans="1:18" x14ac:dyDescent="0.3">
      <c r="A398" s="4" t="s">
        <v>208</v>
      </c>
      <c r="B398" s="4" t="s">
        <v>209</v>
      </c>
      <c r="C398" s="4" t="s">
        <v>210</v>
      </c>
      <c r="D398" s="4">
        <v>48</v>
      </c>
      <c r="E398" s="4">
        <v>3</v>
      </c>
      <c r="F398" s="4" t="s">
        <v>42</v>
      </c>
      <c r="G398" s="4" t="s">
        <v>32</v>
      </c>
      <c r="H398" s="4" t="s">
        <v>101</v>
      </c>
      <c r="I398" s="4" t="s">
        <v>34</v>
      </c>
      <c r="J398" s="4" t="s">
        <v>34</v>
      </c>
      <c r="K398" s="4" t="s">
        <v>34</v>
      </c>
      <c r="L398" s="4" t="s">
        <v>34</v>
      </c>
      <c r="M398" s="4" t="s">
        <v>34</v>
      </c>
      <c r="N398" s="4" t="s">
        <v>34</v>
      </c>
      <c r="O398" s="4" t="s">
        <v>34</v>
      </c>
      <c r="P398" s="4" t="s">
        <v>49</v>
      </c>
      <c r="Q398" s="4" t="s">
        <v>36</v>
      </c>
      <c r="R398" s="5" t="s">
        <v>43</v>
      </c>
    </row>
    <row r="399" spans="1:18" x14ac:dyDescent="0.3">
      <c r="A399" t="s">
        <v>208</v>
      </c>
      <c r="B399" t="s">
        <v>209</v>
      </c>
      <c r="C399" t="s">
        <v>210</v>
      </c>
      <c r="D399">
        <v>56</v>
      </c>
      <c r="E399">
        <v>1</v>
      </c>
      <c r="F399" t="s">
        <v>42</v>
      </c>
      <c r="G399" t="s">
        <v>67</v>
      </c>
      <c r="H399" t="s">
        <v>199</v>
      </c>
      <c r="I399" t="s">
        <v>34</v>
      </c>
      <c r="J399" t="s">
        <v>34</v>
      </c>
      <c r="K399" t="s">
        <v>41</v>
      </c>
      <c r="L399" t="s">
        <v>34</v>
      </c>
      <c r="M399" t="s">
        <v>34</v>
      </c>
      <c r="N399" t="s">
        <v>34</v>
      </c>
      <c r="O399" t="s">
        <v>41</v>
      </c>
      <c r="P399" t="s">
        <v>49</v>
      </c>
      <c r="Q399" t="s">
        <v>36</v>
      </c>
      <c r="R399" s="1" t="s">
        <v>216</v>
      </c>
    </row>
    <row r="400" spans="1:18" x14ac:dyDescent="0.3">
      <c r="A400" s="4" t="s">
        <v>208</v>
      </c>
      <c r="B400" s="4" t="s">
        <v>209</v>
      </c>
      <c r="C400" s="4" t="s">
        <v>210</v>
      </c>
      <c r="D400" s="4">
        <v>64</v>
      </c>
      <c r="E400" s="4">
        <v>1</v>
      </c>
      <c r="F400" s="4" t="s">
        <v>37</v>
      </c>
      <c r="G400" s="4" t="s">
        <v>149</v>
      </c>
      <c r="H400" s="4" t="s">
        <v>33</v>
      </c>
      <c r="I400" s="4" t="s">
        <v>34</v>
      </c>
      <c r="J400" s="4" t="s">
        <v>41</v>
      </c>
      <c r="K400" s="4" t="s">
        <v>34</v>
      </c>
      <c r="L400" s="4" t="s">
        <v>34</v>
      </c>
      <c r="M400" s="4" t="s">
        <v>34</v>
      </c>
      <c r="N400" s="4" t="s">
        <v>34</v>
      </c>
      <c r="O400" s="4" t="s">
        <v>34</v>
      </c>
      <c r="P400" s="4" t="s">
        <v>35</v>
      </c>
      <c r="Q400" s="4" t="s">
        <v>56</v>
      </c>
      <c r="R400" s="5" t="s">
        <v>63</v>
      </c>
    </row>
    <row r="401" spans="1:18" x14ac:dyDescent="0.3">
      <c r="A401" t="s">
        <v>208</v>
      </c>
      <c r="B401" t="s">
        <v>209</v>
      </c>
      <c r="C401" t="s">
        <v>210</v>
      </c>
      <c r="D401">
        <v>70</v>
      </c>
      <c r="E401">
        <v>1</v>
      </c>
      <c r="F401" t="s">
        <v>205</v>
      </c>
      <c r="G401" t="s">
        <v>46</v>
      </c>
      <c r="H401" t="s">
        <v>50</v>
      </c>
      <c r="I401" t="s">
        <v>34</v>
      </c>
      <c r="J401" t="s">
        <v>41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35</v>
      </c>
      <c r="Q401" t="s">
        <v>56</v>
      </c>
      <c r="R401" s="1" t="s">
        <v>291</v>
      </c>
    </row>
    <row r="402" spans="1:18" x14ac:dyDescent="0.3">
      <c r="A402" s="4" t="s">
        <v>208</v>
      </c>
      <c r="B402" s="4" t="s">
        <v>209</v>
      </c>
      <c r="C402" s="4" t="s">
        <v>210</v>
      </c>
      <c r="D402" s="4">
        <v>76</v>
      </c>
      <c r="E402" s="4">
        <v>1</v>
      </c>
      <c r="F402" s="4" t="s">
        <v>153</v>
      </c>
      <c r="G402" s="4" t="s">
        <v>32</v>
      </c>
      <c r="H402" s="4" t="s">
        <v>55</v>
      </c>
      <c r="I402" s="4" t="s">
        <v>34</v>
      </c>
      <c r="J402" s="4" t="s">
        <v>34</v>
      </c>
      <c r="K402" s="4" t="s">
        <v>34</v>
      </c>
      <c r="L402" s="4" t="s">
        <v>34</v>
      </c>
      <c r="M402" s="4" t="s">
        <v>34</v>
      </c>
      <c r="N402" s="4" t="s">
        <v>34</v>
      </c>
      <c r="O402" s="4" t="s">
        <v>34</v>
      </c>
      <c r="P402" s="4" t="s">
        <v>49</v>
      </c>
      <c r="Q402" s="4" t="s">
        <v>56</v>
      </c>
      <c r="R402" s="5" t="s">
        <v>66</v>
      </c>
    </row>
    <row r="403" spans="1:18" x14ac:dyDescent="0.3">
      <c r="A403" t="s">
        <v>208</v>
      </c>
      <c r="B403" t="s">
        <v>209</v>
      </c>
      <c r="C403" t="s">
        <v>210</v>
      </c>
      <c r="D403">
        <v>86</v>
      </c>
      <c r="E403">
        <v>1</v>
      </c>
      <c r="F403" t="s">
        <v>37</v>
      </c>
      <c r="G403" t="s">
        <v>46</v>
      </c>
      <c r="H403" t="s">
        <v>105</v>
      </c>
      <c r="I403" t="s">
        <v>34</v>
      </c>
      <c r="J403" t="s">
        <v>41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35</v>
      </c>
      <c r="Q403" t="s">
        <v>56</v>
      </c>
      <c r="R403" s="1" t="s">
        <v>63</v>
      </c>
    </row>
    <row r="404" spans="1:18" x14ac:dyDescent="0.3">
      <c r="A404" s="4" t="s">
        <v>208</v>
      </c>
      <c r="B404" s="4" t="s">
        <v>209</v>
      </c>
      <c r="C404" s="4" t="s">
        <v>210</v>
      </c>
      <c r="D404" s="4">
        <v>89</v>
      </c>
      <c r="E404" s="4">
        <v>3</v>
      </c>
      <c r="F404" s="4" t="s">
        <v>42</v>
      </c>
      <c r="G404" s="4" t="s">
        <v>67</v>
      </c>
      <c r="H404" s="4" t="s">
        <v>137</v>
      </c>
      <c r="I404" s="4" t="s">
        <v>34</v>
      </c>
      <c r="J404" s="4" t="s">
        <v>34</v>
      </c>
      <c r="K404" s="4" t="s">
        <v>41</v>
      </c>
      <c r="L404" s="4" t="s">
        <v>34</v>
      </c>
      <c r="M404" s="4" t="s">
        <v>34</v>
      </c>
      <c r="N404" s="4" t="s">
        <v>34</v>
      </c>
      <c r="O404" s="4" t="s">
        <v>34</v>
      </c>
      <c r="P404" s="4" t="s">
        <v>49</v>
      </c>
      <c r="Q404" s="4" t="s">
        <v>56</v>
      </c>
      <c r="R404" s="5" t="s">
        <v>66</v>
      </c>
    </row>
    <row r="405" spans="1:18" x14ac:dyDescent="0.3">
      <c r="A405" t="s">
        <v>208</v>
      </c>
      <c r="B405" t="s">
        <v>209</v>
      </c>
      <c r="C405" t="s">
        <v>210</v>
      </c>
      <c r="D405">
        <v>90</v>
      </c>
      <c r="E405">
        <v>3</v>
      </c>
      <c r="F405" t="s">
        <v>53</v>
      </c>
      <c r="G405" t="s">
        <v>95</v>
      </c>
      <c r="H405" t="s">
        <v>153</v>
      </c>
      <c r="I405" t="s">
        <v>34</v>
      </c>
      <c r="J405" t="s">
        <v>34</v>
      </c>
      <c r="K405" t="s">
        <v>41</v>
      </c>
      <c r="L405" t="s">
        <v>34</v>
      </c>
      <c r="M405" t="s">
        <v>34</v>
      </c>
      <c r="N405" t="s">
        <v>34</v>
      </c>
      <c r="O405" t="s">
        <v>34</v>
      </c>
      <c r="P405" t="s">
        <v>49</v>
      </c>
      <c r="Q405" t="s">
        <v>56</v>
      </c>
      <c r="R405" s="1" t="s">
        <v>153</v>
      </c>
    </row>
    <row r="406" spans="1:18" x14ac:dyDescent="0.3">
      <c r="A406" s="4" t="s">
        <v>208</v>
      </c>
      <c r="B406" s="4" t="s">
        <v>209</v>
      </c>
      <c r="C406" s="4" t="s">
        <v>210</v>
      </c>
      <c r="D406" s="4">
        <v>92</v>
      </c>
      <c r="E406" s="4">
        <v>3</v>
      </c>
      <c r="F406" s="4" t="s">
        <v>42</v>
      </c>
      <c r="G406" s="4" t="s">
        <v>32</v>
      </c>
      <c r="H406" s="4" t="s">
        <v>40</v>
      </c>
      <c r="I406" s="4" t="s">
        <v>34</v>
      </c>
      <c r="J406" s="4" t="s">
        <v>34</v>
      </c>
      <c r="K406" s="4" t="s">
        <v>34</v>
      </c>
      <c r="L406" s="4" t="s">
        <v>34</v>
      </c>
      <c r="M406" s="4" t="s">
        <v>34</v>
      </c>
      <c r="N406" s="4" t="s">
        <v>34</v>
      </c>
      <c r="O406" s="4" t="s">
        <v>34</v>
      </c>
      <c r="P406" s="4" t="s">
        <v>49</v>
      </c>
      <c r="Q406" s="4" t="s">
        <v>56</v>
      </c>
      <c r="R406" s="5" t="s">
        <v>43</v>
      </c>
    </row>
    <row r="407" spans="1:18" x14ac:dyDescent="0.3">
      <c r="A407" t="s">
        <v>208</v>
      </c>
      <c r="B407" t="s">
        <v>209</v>
      </c>
      <c r="C407" t="s">
        <v>210</v>
      </c>
      <c r="D407">
        <v>94</v>
      </c>
      <c r="E407">
        <v>1</v>
      </c>
      <c r="F407" t="s">
        <v>217</v>
      </c>
      <c r="G407" t="s">
        <v>32</v>
      </c>
      <c r="H407" t="s">
        <v>218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49</v>
      </c>
      <c r="Q407" t="s">
        <v>56</v>
      </c>
      <c r="R407" s="1" t="s">
        <v>43</v>
      </c>
    </row>
    <row r="408" spans="1:18" x14ac:dyDescent="0.3">
      <c r="A408" s="4" t="s">
        <v>208</v>
      </c>
      <c r="B408" s="4" t="s">
        <v>209</v>
      </c>
      <c r="C408" s="4" t="s">
        <v>210</v>
      </c>
      <c r="D408" s="4">
        <v>98</v>
      </c>
      <c r="E408" s="4">
        <v>1</v>
      </c>
      <c r="F408" s="4" t="s">
        <v>42</v>
      </c>
      <c r="G408" s="4" t="s">
        <v>32</v>
      </c>
      <c r="H408" s="4" t="s">
        <v>160</v>
      </c>
      <c r="I408" s="4" t="s">
        <v>34</v>
      </c>
      <c r="J408" s="4" t="s">
        <v>34</v>
      </c>
      <c r="K408" s="4" t="s">
        <v>34</v>
      </c>
      <c r="L408" s="4" t="s">
        <v>34</v>
      </c>
      <c r="M408" s="4" t="s">
        <v>34</v>
      </c>
      <c r="N408" s="4" t="s">
        <v>34</v>
      </c>
      <c r="O408" s="4" t="s">
        <v>34</v>
      </c>
      <c r="P408" s="4" t="s">
        <v>49</v>
      </c>
      <c r="Q408" s="4" t="s">
        <v>56</v>
      </c>
      <c r="R408" s="5" t="s">
        <v>43</v>
      </c>
    </row>
    <row r="409" spans="1:18" x14ac:dyDescent="0.3">
      <c r="A409" t="s">
        <v>208</v>
      </c>
      <c r="B409" t="s">
        <v>209</v>
      </c>
      <c r="C409" t="s">
        <v>210</v>
      </c>
      <c r="D409">
        <v>100</v>
      </c>
      <c r="E409">
        <v>2</v>
      </c>
      <c r="F409" t="s">
        <v>42</v>
      </c>
      <c r="G409" t="s">
        <v>46</v>
      </c>
      <c r="H409" t="s">
        <v>185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49</v>
      </c>
      <c r="Q409" t="s">
        <v>56</v>
      </c>
      <c r="R409" s="1" t="s">
        <v>38</v>
      </c>
    </row>
    <row r="410" spans="1:18" x14ac:dyDescent="0.3">
      <c r="A410" s="4" t="s">
        <v>208</v>
      </c>
      <c r="B410" s="4" t="s">
        <v>209</v>
      </c>
      <c r="C410" s="4" t="s">
        <v>210</v>
      </c>
      <c r="D410" s="4">
        <v>102</v>
      </c>
      <c r="E410" s="4">
        <v>1</v>
      </c>
      <c r="F410" s="4" t="s">
        <v>217</v>
      </c>
      <c r="G410" s="4" t="s">
        <v>32</v>
      </c>
      <c r="H410" s="4" t="s">
        <v>112</v>
      </c>
      <c r="I410" s="4" t="s">
        <v>34</v>
      </c>
      <c r="J410" s="4" t="s">
        <v>34</v>
      </c>
      <c r="K410" s="4" t="s">
        <v>34</v>
      </c>
      <c r="L410" s="4" t="s">
        <v>41</v>
      </c>
      <c r="M410" s="4" t="s">
        <v>34</v>
      </c>
      <c r="N410" s="4" t="s">
        <v>34</v>
      </c>
      <c r="O410" s="4" t="s">
        <v>34</v>
      </c>
      <c r="P410" s="4" t="s">
        <v>49</v>
      </c>
      <c r="Q410" s="4" t="s">
        <v>56</v>
      </c>
      <c r="R410" s="5" t="s">
        <v>215</v>
      </c>
    </row>
    <row r="411" spans="1:18" x14ac:dyDescent="0.3">
      <c r="A411" t="s">
        <v>208</v>
      </c>
      <c r="B411" t="s">
        <v>209</v>
      </c>
      <c r="C411" t="s">
        <v>210</v>
      </c>
      <c r="D411">
        <v>105</v>
      </c>
      <c r="E411">
        <v>1</v>
      </c>
      <c r="F411" t="s">
        <v>42</v>
      </c>
      <c r="G411" t="s">
        <v>67</v>
      </c>
      <c r="H411" t="s">
        <v>40</v>
      </c>
      <c r="I411" t="s">
        <v>34</v>
      </c>
      <c r="J411" t="s">
        <v>34</v>
      </c>
      <c r="K411" t="s">
        <v>41</v>
      </c>
      <c r="L411" t="s">
        <v>34</v>
      </c>
      <c r="M411" t="s">
        <v>34</v>
      </c>
      <c r="N411" t="s">
        <v>34</v>
      </c>
      <c r="O411" t="s">
        <v>34</v>
      </c>
      <c r="P411" t="s">
        <v>49</v>
      </c>
      <c r="Q411" t="s">
        <v>56</v>
      </c>
      <c r="R411" s="1" t="s">
        <v>148</v>
      </c>
    </row>
    <row r="412" spans="1:18" x14ac:dyDescent="0.3">
      <c r="A412" s="4" t="s">
        <v>219</v>
      </c>
      <c r="B412" s="4" t="s">
        <v>220</v>
      </c>
      <c r="C412" s="4" t="s">
        <v>221</v>
      </c>
      <c r="D412" s="4">
        <v>10</v>
      </c>
      <c r="E412" s="4">
        <v>1</v>
      </c>
      <c r="F412" s="4" t="s">
        <v>37</v>
      </c>
      <c r="G412" s="4" t="s">
        <v>108</v>
      </c>
      <c r="H412" s="4" t="s">
        <v>33</v>
      </c>
      <c r="I412" s="4" t="s">
        <v>34</v>
      </c>
      <c r="J412" s="4" t="s">
        <v>41</v>
      </c>
      <c r="K412" s="4" t="s">
        <v>34</v>
      </c>
      <c r="L412" s="4" t="s">
        <v>34</v>
      </c>
      <c r="M412" s="4" t="s">
        <v>34</v>
      </c>
      <c r="N412" s="4" t="s">
        <v>34</v>
      </c>
      <c r="O412" s="4" t="s">
        <v>34</v>
      </c>
      <c r="P412" s="4" t="s">
        <v>35</v>
      </c>
      <c r="Q412" s="4" t="s">
        <v>36</v>
      </c>
      <c r="R412" s="5" t="s">
        <v>48</v>
      </c>
    </row>
    <row r="413" spans="1:18" x14ac:dyDescent="0.3">
      <c r="A413" t="s">
        <v>219</v>
      </c>
      <c r="B413" t="s">
        <v>220</v>
      </c>
      <c r="C413" t="s">
        <v>221</v>
      </c>
      <c r="D413">
        <v>14</v>
      </c>
      <c r="E413">
        <v>1</v>
      </c>
      <c r="F413" t="s">
        <v>37</v>
      </c>
      <c r="G413" t="s">
        <v>46</v>
      </c>
      <c r="H413" t="s">
        <v>33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35</v>
      </c>
      <c r="Q413" t="s">
        <v>36</v>
      </c>
      <c r="R413" s="1" t="s">
        <v>63</v>
      </c>
    </row>
    <row r="414" spans="1:18" x14ac:dyDescent="0.3">
      <c r="A414" s="4" t="s">
        <v>219</v>
      </c>
      <c r="B414" s="4" t="s">
        <v>220</v>
      </c>
      <c r="C414" s="4" t="s">
        <v>221</v>
      </c>
      <c r="D414" s="4">
        <v>15</v>
      </c>
      <c r="E414" s="4">
        <v>1</v>
      </c>
      <c r="F414" s="4" t="s">
        <v>58</v>
      </c>
      <c r="G414" s="4" t="s">
        <v>108</v>
      </c>
      <c r="H414" s="4" t="s">
        <v>186</v>
      </c>
      <c r="I414" s="4" t="s">
        <v>34</v>
      </c>
      <c r="J414" s="4" t="s">
        <v>34</v>
      </c>
      <c r="K414" s="4" t="s">
        <v>34</v>
      </c>
      <c r="L414" s="4" t="s">
        <v>34</v>
      </c>
      <c r="M414" s="4" t="s">
        <v>34</v>
      </c>
      <c r="N414" s="4" t="s">
        <v>34</v>
      </c>
      <c r="O414" s="4" t="s">
        <v>34</v>
      </c>
      <c r="P414" s="4" t="s">
        <v>35</v>
      </c>
      <c r="Q414" s="4" t="s">
        <v>36</v>
      </c>
      <c r="R414" s="5" t="s">
        <v>222</v>
      </c>
    </row>
    <row r="415" spans="1:18" x14ac:dyDescent="0.3">
      <c r="A415" t="s">
        <v>219</v>
      </c>
      <c r="B415" t="s">
        <v>220</v>
      </c>
      <c r="C415" t="s">
        <v>221</v>
      </c>
      <c r="D415">
        <v>18</v>
      </c>
      <c r="E415">
        <v>2</v>
      </c>
      <c r="F415" t="s">
        <v>37</v>
      </c>
      <c r="G415" t="s">
        <v>149</v>
      </c>
      <c r="H415" t="s">
        <v>33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35</v>
      </c>
      <c r="Q415" t="s">
        <v>36</v>
      </c>
      <c r="R415" s="1" t="s">
        <v>63</v>
      </c>
    </row>
    <row r="416" spans="1:18" x14ac:dyDescent="0.3">
      <c r="A416" s="4" t="s">
        <v>219</v>
      </c>
      <c r="B416" s="4" t="s">
        <v>220</v>
      </c>
      <c r="C416" s="4" t="s">
        <v>221</v>
      </c>
      <c r="D416" s="4">
        <v>27</v>
      </c>
      <c r="E416" s="4">
        <v>1</v>
      </c>
      <c r="F416" s="4" t="s">
        <v>129</v>
      </c>
      <c r="G416" s="4" t="s">
        <v>108</v>
      </c>
      <c r="H416" s="4" t="s">
        <v>130</v>
      </c>
      <c r="I416" s="4" t="s">
        <v>34</v>
      </c>
      <c r="J416" s="4" t="s">
        <v>41</v>
      </c>
      <c r="K416" s="4" t="s">
        <v>34</v>
      </c>
      <c r="L416" s="4" t="s">
        <v>41</v>
      </c>
      <c r="M416" s="4" t="s">
        <v>34</v>
      </c>
      <c r="N416" s="4" t="s">
        <v>34</v>
      </c>
      <c r="O416" s="4" t="s">
        <v>34</v>
      </c>
      <c r="P416" s="4" t="s">
        <v>35</v>
      </c>
      <c r="Q416" s="4" t="s">
        <v>36</v>
      </c>
      <c r="R416" s="5" t="s">
        <v>63</v>
      </c>
    </row>
    <row r="417" spans="1:18" x14ac:dyDescent="0.3">
      <c r="A417" t="s">
        <v>219</v>
      </c>
      <c r="B417" t="s">
        <v>220</v>
      </c>
      <c r="C417" t="s">
        <v>221</v>
      </c>
      <c r="D417">
        <v>35</v>
      </c>
      <c r="E417">
        <v>1</v>
      </c>
      <c r="F417" t="s">
        <v>37</v>
      </c>
      <c r="G417" t="s">
        <v>46</v>
      </c>
      <c r="H417" t="s">
        <v>33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35</v>
      </c>
      <c r="Q417" t="s">
        <v>36</v>
      </c>
      <c r="R417" s="1" t="s">
        <v>63</v>
      </c>
    </row>
    <row r="418" spans="1:18" x14ac:dyDescent="0.3">
      <c r="A418" s="4" t="s">
        <v>219</v>
      </c>
      <c r="B418" s="4" t="s">
        <v>220</v>
      </c>
      <c r="C418" s="4" t="s">
        <v>221</v>
      </c>
      <c r="D418" s="4">
        <v>36</v>
      </c>
      <c r="E418" s="4">
        <v>1</v>
      </c>
      <c r="F418" s="4" t="s">
        <v>37</v>
      </c>
      <c r="G418" s="4" t="s">
        <v>46</v>
      </c>
      <c r="H418" s="4" t="s">
        <v>223</v>
      </c>
      <c r="I418" s="4" t="s">
        <v>34</v>
      </c>
      <c r="J418" s="4" t="s">
        <v>34</v>
      </c>
      <c r="K418" s="4" t="s">
        <v>34</v>
      </c>
      <c r="L418" s="4" t="s">
        <v>34</v>
      </c>
      <c r="M418" s="4" t="s">
        <v>34</v>
      </c>
      <c r="N418" s="4" t="s">
        <v>34</v>
      </c>
      <c r="O418" s="4" t="s">
        <v>34</v>
      </c>
      <c r="P418" s="4" t="s">
        <v>35</v>
      </c>
      <c r="Q418" s="4" t="s">
        <v>36</v>
      </c>
      <c r="R418" s="5" t="s">
        <v>63</v>
      </c>
    </row>
    <row r="419" spans="1:18" x14ac:dyDescent="0.3">
      <c r="A419" t="s">
        <v>219</v>
      </c>
      <c r="B419" t="s">
        <v>220</v>
      </c>
      <c r="C419" t="s">
        <v>221</v>
      </c>
      <c r="D419">
        <v>37</v>
      </c>
      <c r="E419">
        <v>1</v>
      </c>
      <c r="F419" t="s">
        <v>129</v>
      </c>
      <c r="G419" t="s">
        <v>46</v>
      </c>
      <c r="H419" t="s">
        <v>118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35</v>
      </c>
      <c r="Q419" t="s">
        <v>36</v>
      </c>
      <c r="R419" s="1" t="s">
        <v>63</v>
      </c>
    </row>
    <row r="420" spans="1:18" x14ac:dyDescent="0.3">
      <c r="A420" s="4" t="s">
        <v>219</v>
      </c>
      <c r="B420" s="4" t="s">
        <v>220</v>
      </c>
      <c r="C420" s="4" t="s">
        <v>221</v>
      </c>
      <c r="D420" s="4">
        <v>38</v>
      </c>
      <c r="E420" s="4">
        <v>1</v>
      </c>
      <c r="F420" s="4" t="s">
        <v>129</v>
      </c>
      <c r="G420" s="4" t="s">
        <v>46</v>
      </c>
      <c r="H420" s="4" t="s">
        <v>224</v>
      </c>
      <c r="I420" s="4" t="s">
        <v>34</v>
      </c>
      <c r="J420" s="4" t="s">
        <v>34</v>
      </c>
      <c r="K420" s="4" t="s">
        <v>34</v>
      </c>
      <c r="L420" s="4" t="s">
        <v>34</v>
      </c>
      <c r="M420" s="4" t="s">
        <v>34</v>
      </c>
      <c r="N420" s="4" t="s">
        <v>34</v>
      </c>
      <c r="O420" s="4" t="s">
        <v>34</v>
      </c>
      <c r="P420" s="4" t="s">
        <v>35</v>
      </c>
      <c r="Q420" s="4" t="s">
        <v>36</v>
      </c>
      <c r="R420" s="5" t="s">
        <v>225</v>
      </c>
    </row>
    <row r="421" spans="1:18" x14ac:dyDescent="0.3">
      <c r="A421" t="s">
        <v>219</v>
      </c>
      <c r="B421" t="s">
        <v>220</v>
      </c>
      <c r="C421" t="s">
        <v>221</v>
      </c>
      <c r="D421">
        <v>47</v>
      </c>
      <c r="E421">
        <v>1</v>
      </c>
      <c r="F421" t="s">
        <v>37</v>
      </c>
      <c r="G421" t="s">
        <v>108</v>
      </c>
      <c r="H421" t="s">
        <v>105</v>
      </c>
      <c r="I421" t="s">
        <v>34</v>
      </c>
      <c r="J421" t="s">
        <v>41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35</v>
      </c>
      <c r="Q421" t="s">
        <v>36</v>
      </c>
      <c r="R421" s="1" t="s">
        <v>226</v>
      </c>
    </row>
    <row r="422" spans="1:18" x14ac:dyDescent="0.3">
      <c r="A422" s="4" t="s">
        <v>219</v>
      </c>
      <c r="B422" s="4" t="s">
        <v>220</v>
      </c>
      <c r="C422" s="4" t="s">
        <v>221</v>
      </c>
      <c r="D422" s="4">
        <v>69</v>
      </c>
      <c r="E422" s="4">
        <v>1</v>
      </c>
      <c r="F422" s="4" t="s">
        <v>42</v>
      </c>
      <c r="G422" s="4" t="s">
        <v>32</v>
      </c>
      <c r="H422" s="4" t="s">
        <v>138</v>
      </c>
      <c r="I422" s="4" t="s">
        <v>41</v>
      </c>
      <c r="J422" s="4" t="s">
        <v>41</v>
      </c>
      <c r="K422" s="4" t="s">
        <v>34</v>
      </c>
      <c r="L422" s="4" t="s">
        <v>34</v>
      </c>
      <c r="M422" s="4" t="s">
        <v>34</v>
      </c>
      <c r="N422" s="4" t="s">
        <v>34</v>
      </c>
      <c r="O422" s="4" t="s">
        <v>34</v>
      </c>
      <c r="P422" s="4" t="s">
        <v>49</v>
      </c>
      <c r="Q422" s="4" t="s">
        <v>36</v>
      </c>
      <c r="R422" s="5" t="s">
        <v>63</v>
      </c>
    </row>
    <row r="423" spans="1:18" x14ac:dyDescent="0.3">
      <c r="A423" t="s">
        <v>219</v>
      </c>
      <c r="B423" t="s">
        <v>220</v>
      </c>
      <c r="C423" t="s">
        <v>221</v>
      </c>
      <c r="D423">
        <v>85</v>
      </c>
      <c r="E423">
        <v>1</v>
      </c>
      <c r="F423" t="s">
        <v>42</v>
      </c>
      <c r="G423" t="s">
        <v>108</v>
      </c>
      <c r="H423" t="s">
        <v>227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49</v>
      </c>
      <c r="Q423" t="s">
        <v>36</v>
      </c>
      <c r="R423" s="1" t="s">
        <v>228</v>
      </c>
    </row>
    <row r="424" spans="1:18" x14ac:dyDescent="0.3">
      <c r="A424" s="4" t="s">
        <v>219</v>
      </c>
      <c r="B424" s="4" t="s">
        <v>220</v>
      </c>
      <c r="C424" s="4" t="s">
        <v>221</v>
      </c>
      <c r="D424" s="4">
        <v>106</v>
      </c>
      <c r="E424" s="4">
        <v>1</v>
      </c>
      <c r="F424" s="4" t="s">
        <v>42</v>
      </c>
      <c r="G424" s="4" t="s">
        <v>32</v>
      </c>
      <c r="H424" s="4" t="s">
        <v>40</v>
      </c>
      <c r="I424" s="4" t="s">
        <v>34</v>
      </c>
      <c r="J424" s="4" t="s">
        <v>34</v>
      </c>
      <c r="K424" s="4" t="s">
        <v>34</v>
      </c>
      <c r="L424" s="4" t="s">
        <v>34</v>
      </c>
      <c r="M424" s="4" t="s">
        <v>34</v>
      </c>
      <c r="N424" s="4" t="s">
        <v>34</v>
      </c>
      <c r="O424" s="4" t="s">
        <v>34</v>
      </c>
      <c r="P424" s="4" t="s">
        <v>49</v>
      </c>
      <c r="Q424" s="4" t="s">
        <v>36</v>
      </c>
      <c r="R424" s="5" t="s">
        <v>133</v>
      </c>
    </row>
    <row r="425" spans="1:18" x14ac:dyDescent="0.3">
      <c r="A425" t="s">
        <v>219</v>
      </c>
      <c r="B425" t="s">
        <v>220</v>
      </c>
      <c r="C425" t="s">
        <v>221</v>
      </c>
      <c r="D425">
        <v>112</v>
      </c>
      <c r="E425">
        <v>1</v>
      </c>
      <c r="F425" t="s">
        <v>129</v>
      </c>
      <c r="G425" t="s">
        <v>32</v>
      </c>
      <c r="H425" t="s">
        <v>232</v>
      </c>
      <c r="I425" t="s">
        <v>34</v>
      </c>
      <c r="J425" t="s">
        <v>41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49</v>
      </c>
      <c r="Q425" t="s">
        <v>36</v>
      </c>
      <c r="R425" s="1" t="s">
        <v>63</v>
      </c>
    </row>
    <row r="426" spans="1:18" x14ac:dyDescent="0.3">
      <c r="A426" s="4" t="s">
        <v>219</v>
      </c>
      <c r="B426" s="4" t="s">
        <v>220</v>
      </c>
      <c r="C426" s="4" t="s">
        <v>221</v>
      </c>
      <c r="D426" s="4">
        <v>117</v>
      </c>
      <c r="E426" s="4">
        <v>1</v>
      </c>
      <c r="F426" s="4" t="s">
        <v>42</v>
      </c>
      <c r="G426" s="4" t="s">
        <v>67</v>
      </c>
      <c r="H426" s="4" t="s">
        <v>40</v>
      </c>
      <c r="I426" s="4" t="s">
        <v>34</v>
      </c>
      <c r="J426" s="4" t="s">
        <v>34</v>
      </c>
      <c r="K426" s="4" t="s">
        <v>34</v>
      </c>
      <c r="L426" s="4" t="s">
        <v>34</v>
      </c>
      <c r="M426" s="4" t="s">
        <v>34</v>
      </c>
      <c r="N426" s="4" t="s">
        <v>34</v>
      </c>
      <c r="O426" s="4" t="s">
        <v>34</v>
      </c>
      <c r="P426" s="4" t="s">
        <v>49</v>
      </c>
      <c r="Q426" s="4" t="s">
        <v>36</v>
      </c>
      <c r="R426" s="5" t="s">
        <v>63</v>
      </c>
    </row>
    <row r="427" spans="1:18" x14ac:dyDescent="0.3">
      <c r="A427" t="s">
        <v>219</v>
      </c>
      <c r="B427" t="s">
        <v>220</v>
      </c>
      <c r="C427" t="s">
        <v>221</v>
      </c>
      <c r="D427">
        <v>123</v>
      </c>
      <c r="E427">
        <v>1</v>
      </c>
      <c r="F427" t="s">
        <v>53</v>
      </c>
      <c r="G427" t="s">
        <v>149</v>
      </c>
      <c r="H427" t="s">
        <v>153</v>
      </c>
      <c r="I427" t="s">
        <v>34</v>
      </c>
      <c r="J427" t="s">
        <v>34</v>
      </c>
      <c r="K427" t="s">
        <v>41</v>
      </c>
      <c r="L427" t="s">
        <v>41</v>
      </c>
      <c r="M427" t="s">
        <v>34</v>
      </c>
      <c r="N427" t="s">
        <v>34</v>
      </c>
      <c r="O427" t="s">
        <v>34</v>
      </c>
      <c r="P427" t="s">
        <v>49</v>
      </c>
      <c r="Q427" t="s">
        <v>36</v>
      </c>
      <c r="R427" s="1" t="s">
        <v>153</v>
      </c>
    </row>
    <row r="428" spans="1:18" x14ac:dyDescent="0.3">
      <c r="A428" s="4" t="s">
        <v>219</v>
      </c>
      <c r="B428" s="4" t="s">
        <v>220</v>
      </c>
      <c r="C428" s="4" t="s">
        <v>221</v>
      </c>
      <c r="D428" s="4">
        <v>138</v>
      </c>
      <c r="E428" s="4">
        <v>3</v>
      </c>
      <c r="F428" s="4" t="s">
        <v>37</v>
      </c>
      <c r="G428" s="4" t="s">
        <v>108</v>
      </c>
      <c r="H428" s="4" t="s">
        <v>105</v>
      </c>
      <c r="I428" s="4" t="s">
        <v>34</v>
      </c>
      <c r="J428" s="4" t="s">
        <v>34</v>
      </c>
      <c r="K428" s="4" t="s">
        <v>34</v>
      </c>
      <c r="L428" s="4" t="s">
        <v>34</v>
      </c>
      <c r="M428" s="4" t="s">
        <v>34</v>
      </c>
      <c r="N428" s="4" t="s">
        <v>34</v>
      </c>
      <c r="O428" s="4" t="s">
        <v>41</v>
      </c>
      <c r="P428" s="4" t="s">
        <v>35</v>
      </c>
      <c r="Q428" s="4" t="s">
        <v>56</v>
      </c>
      <c r="R428" s="5" t="s">
        <v>63</v>
      </c>
    </row>
    <row r="429" spans="1:18" x14ac:dyDescent="0.3">
      <c r="A429" t="s">
        <v>219</v>
      </c>
      <c r="B429" t="s">
        <v>220</v>
      </c>
      <c r="C429" t="s">
        <v>221</v>
      </c>
      <c r="D429">
        <v>141</v>
      </c>
      <c r="E429">
        <v>3</v>
      </c>
      <c r="F429" t="s">
        <v>217</v>
      </c>
      <c r="G429" t="s">
        <v>108</v>
      </c>
      <c r="H429" t="s">
        <v>130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41</v>
      </c>
      <c r="P429" t="s">
        <v>35</v>
      </c>
      <c r="Q429" t="s">
        <v>56</v>
      </c>
      <c r="R429" s="1" t="s">
        <v>150</v>
      </c>
    </row>
    <row r="430" spans="1:18" x14ac:dyDescent="0.3">
      <c r="A430" s="4" t="s">
        <v>219</v>
      </c>
      <c r="B430" s="4" t="s">
        <v>220</v>
      </c>
      <c r="C430" s="4" t="s">
        <v>221</v>
      </c>
      <c r="D430" s="4">
        <v>164</v>
      </c>
      <c r="E430" s="4">
        <v>1</v>
      </c>
      <c r="F430" s="4" t="s">
        <v>37</v>
      </c>
      <c r="G430" s="4" t="s">
        <v>149</v>
      </c>
      <c r="H430" s="4" t="s">
        <v>33</v>
      </c>
      <c r="I430" s="4" t="s">
        <v>34</v>
      </c>
      <c r="J430" s="4" t="s">
        <v>34</v>
      </c>
      <c r="K430" s="4" t="s">
        <v>34</v>
      </c>
      <c r="L430" s="4" t="s">
        <v>34</v>
      </c>
      <c r="M430" s="4" t="s">
        <v>34</v>
      </c>
      <c r="N430" s="4" t="s">
        <v>34</v>
      </c>
      <c r="O430" s="4" t="s">
        <v>34</v>
      </c>
      <c r="P430" s="4" t="s">
        <v>35</v>
      </c>
      <c r="Q430" s="4" t="s">
        <v>56</v>
      </c>
      <c r="R430" s="5" t="s">
        <v>150</v>
      </c>
    </row>
    <row r="431" spans="1:18" x14ac:dyDescent="0.3">
      <c r="A431" t="s">
        <v>219</v>
      </c>
      <c r="B431" t="s">
        <v>220</v>
      </c>
      <c r="C431" t="s">
        <v>221</v>
      </c>
      <c r="D431">
        <v>165</v>
      </c>
      <c r="E431">
        <v>3</v>
      </c>
      <c r="F431" t="s">
        <v>37</v>
      </c>
      <c r="G431" t="s">
        <v>108</v>
      </c>
      <c r="H431" t="s">
        <v>119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35</v>
      </c>
      <c r="Q431" t="s">
        <v>56</v>
      </c>
      <c r="R431" s="1" t="s">
        <v>63</v>
      </c>
    </row>
    <row r="432" spans="1:18" x14ac:dyDescent="0.3">
      <c r="A432" s="4" t="s">
        <v>219</v>
      </c>
      <c r="B432" s="4" t="s">
        <v>220</v>
      </c>
      <c r="C432" s="4" t="s">
        <v>221</v>
      </c>
      <c r="D432" s="4">
        <v>174</v>
      </c>
      <c r="E432" s="4">
        <v>1</v>
      </c>
      <c r="F432" s="4" t="s">
        <v>42</v>
      </c>
      <c r="G432" s="4" t="s">
        <v>46</v>
      </c>
      <c r="H432" s="4" t="s">
        <v>151</v>
      </c>
      <c r="I432" s="4" t="s">
        <v>34</v>
      </c>
      <c r="J432" s="4" t="s">
        <v>34</v>
      </c>
      <c r="K432" s="4" t="s">
        <v>34</v>
      </c>
      <c r="L432" s="4" t="s">
        <v>34</v>
      </c>
      <c r="M432" s="4" t="s">
        <v>34</v>
      </c>
      <c r="N432" s="4" t="s">
        <v>34</v>
      </c>
      <c r="O432" s="4" t="s">
        <v>34</v>
      </c>
      <c r="P432" s="4" t="s">
        <v>35</v>
      </c>
      <c r="Q432" s="4" t="s">
        <v>56</v>
      </c>
      <c r="R432" s="5" t="s">
        <v>150</v>
      </c>
    </row>
    <row r="433" spans="1:18" x14ac:dyDescent="0.3">
      <c r="A433" t="s">
        <v>219</v>
      </c>
      <c r="B433" t="s">
        <v>220</v>
      </c>
      <c r="C433" t="s">
        <v>221</v>
      </c>
      <c r="D433">
        <v>180</v>
      </c>
      <c r="E433">
        <v>3</v>
      </c>
      <c r="F433" t="s">
        <v>37</v>
      </c>
      <c r="G433" t="s">
        <v>46</v>
      </c>
      <c r="H433" t="s">
        <v>138</v>
      </c>
      <c r="I433" t="s">
        <v>34</v>
      </c>
      <c r="J433" t="s">
        <v>34</v>
      </c>
      <c r="K433" t="s">
        <v>34</v>
      </c>
      <c r="L433" t="s">
        <v>34</v>
      </c>
      <c r="M433" t="s">
        <v>41</v>
      </c>
      <c r="N433" t="s">
        <v>34</v>
      </c>
      <c r="O433" t="s">
        <v>34</v>
      </c>
      <c r="P433" t="s">
        <v>35</v>
      </c>
      <c r="Q433" t="s">
        <v>56</v>
      </c>
      <c r="R433" s="1" t="s">
        <v>104</v>
      </c>
    </row>
    <row r="434" spans="1:18" x14ac:dyDescent="0.3">
      <c r="A434" s="4" t="s">
        <v>219</v>
      </c>
      <c r="B434" s="4" t="s">
        <v>220</v>
      </c>
      <c r="C434" s="4" t="s">
        <v>221</v>
      </c>
      <c r="D434" s="4">
        <v>185</v>
      </c>
      <c r="E434" s="4">
        <v>3</v>
      </c>
      <c r="F434" s="4" t="s">
        <v>217</v>
      </c>
      <c r="G434" s="4" t="s">
        <v>108</v>
      </c>
      <c r="H434" s="4" t="s">
        <v>130</v>
      </c>
      <c r="I434" s="4" t="s">
        <v>34</v>
      </c>
      <c r="J434" s="4" t="s">
        <v>34</v>
      </c>
      <c r="K434" s="4" t="s">
        <v>34</v>
      </c>
      <c r="L434" s="4" t="s">
        <v>34</v>
      </c>
      <c r="M434" s="4" t="s">
        <v>34</v>
      </c>
      <c r="N434" s="4" t="s">
        <v>34</v>
      </c>
      <c r="O434" s="4" t="s">
        <v>34</v>
      </c>
      <c r="P434" s="4" t="s">
        <v>35</v>
      </c>
      <c r="Q434" s="4" t="s">
        <v>56</v>
      </c>
      <c r="R434" s="5" t="s">
        <v>150</v>
      </c>
    </row>
    <row r="435" spans="1:18" x14ac:dyDescent="0.3">
      <c r="A435" t="s">
        <v>219</v>
      </c>
      <c r="B435" t="s">
        <v>220</v>
      </c>
      <c r="C435" t="s">
        <v>221</v>
      </c>
      <c r="D435">
        <v>187</v>
      </c>
      <c r="E435">
        <v>1</v>
      </c>
      <c r="F435" t="s">
        <v>37</v>
      </c>
      <c r="G435" t="s">
        <v>46</v>
      </c>
      <c r="H435" t="s">
        <v>33</v>
      </c>
      <c r="I435" t="s">
        <v>34</v>
      </c>
      <c r="J435" t="s">
        <v>41</v>
      </c>
      <c r="K435" t="s">
        <v>34</v>
      </c>
      <c r="L435" t="s">
        <v>34</v>
      </c>
      <c r="M435" t="s">
        <v>41</v>
      </c>
      <c r="N435" t="s">
        <v>34</v>
      </c>
      <c r="O435" t="s">
        <v>34</v>
      </c>
      <c r="P435" t="s">
        <v>35</v>
      </c>
      <c r="Q435" t="s">
        <v>56</v>
      </c>
      <c r="R435" s="1" t="s">
        <v>133</v>
      </c>
    </row>
    <row r="436" spans="1:18" x14ac:dyDescent="0.3">
      <c r="A436" s="4" t="s">
        <v>219</v>
      </c>
      <c r="B436" s="4" t="s">
        <v>220</v>
      </c>
      <c r="C436" s="4" t="s">
        <v>221</v>
      </c>
      <c r="D436" s="4">
        <v>193</v>
      </c>
      <c r="E436" s="4">
        <v>1</v>
      </c>
      <c r="F436" s="4" t="s">
        <v>42</v>
      </c>
      <c r="G436" s="4" t="s">
        <v>32</v>
      </c>
      <c r="H436" s="4" t="s">
        <v>105</v>
      </c>
      <c r="I436" s="4" t="s">
        <v>34</v>
      </c>
      <c r="J436" s="4" t="s">
        <v>34</v>
      </c>
      <c r="K436" s="4" t="s">
        <v>34</v>
      </c>
      <c r="L436" s="4" t="s">
        <v>34</v>
      </c>
      <c r="M436" s="4" t="s">
        <v>34</v>
      </c>
      <c r="N436" s="4" t="s">
        <v>34</v>
      </c>
      <c r="O436" s="4" t="s">
        <v>34</v>
      </c>
      <c r="P436" s="4" t="s">
        <v>49</v>
      </c>
      <c r="Q436" s="4" t="s">
        <v>56</v>
      </c>
      <c r="R436" s="5" t="s">
        <v>150</v>
      </c>
    </row>
    <row r="437" spans="1:18" x14ac:dyDescent="0.3">
      <c r="A437" t="s">
        <v>219</v>
      </c>
      <c r="B437" t="s">
        <v>220</v>
      </c>
      <c r="C437" t="s">
        <v>221</v>
      </c>
      <c r="D437">
        <v>196</v>
      </c>
      <c r="E437">
        <v>1</v>
      </c>
      <c r="F437" t="s">
        <v>42</v>
      </c>
      <c r="G437" t="s">
        <v>67</v>
      </c>
      <c r="H437" t="s">
        <v>229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49</v>
      </c>
      <c r="Q437" t="s">
        <v>56</v>
      </c>
      <c r="R437" s="1" t="s">
        <v>150</v>
      </c>
    </row>
    <row r="438" spans="1:18" x14ac:dyDescent="0.3">
      <c r="A438" s="4" t="s">
        <v>219</v>
      </c>
      <c r="B438" s="4" t="s">
        <v>220</v>
      </c>
      <c r="C438" s="4" t="s">
        <v>221</v>
      </c>
      <c r="D438" s="4">
        <v>200</v>
      </c>
      <c r="E438" s="4">
        <v>1</v>
      </c>
      <c r="F438" s="4" t="s">
        <v>42</v>
      </c>
      <c r="G438" s="4" t="s">
        <v>108</v>
      </c>
      <c r="H438" s="4" t="s">
        <v>130</v>
      </c>
      <c r="I438" s="4" t="s">
        <v>34</v>
      </c>
      <c r="J438" s="4" t="s">
        <v>34</v>
      </c>
      <c r="K438" s="4" t="s">
        <v>34</v>
      </c>
      <c r="L438" s="4" t="s">
        <v>34</v>
      </c>
      <c r="M438" s="4" t="s">
        <v>34</v>
      </c>
      <c r="N438" s="4" t="s">
        <v>34</v>
      </c>
      <c r="O438" s="4" t="s">
        <v>34</v>
      </c>
      <c r="P438" s="4" t="s">
        <v>49</v>
      </c>
      <c r="Q438" s="4" t="s">
        <v>56</v>
      </c>
      <c r="R438" s="5" t="s">
        <v>150</v>
      </c>
    </row>
    <row r="439" spans="1:18" x14ac:dyDescent="0.3">
      <c r="A439" t="s">
        <v>219</v>
      </c>
      <c r="B439" t="s">
        <v>220</v>
      </c>
      <c r="C439" t="s">
        <v>221</v>
      </c>
      <c r="D439">
        <v>203</v>
      </c>
      <c r="E439">
        <v>1</v>
      </c>
      <c r="F439" t="s">
        <v>205</v>
      </c>
      <c r="G439" t="s">
        <v>67</v>
      </c>
      <c r="H439" t="s">
        <v>230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49</v>
      </c>
      <c r="Q439" t="s">
        <v>56</v>
      </c>
      <c r="R439" s="1" t="s">
        <v>153</v>
      </c>
    </row>
    <row r="440" spans="1:18" x14ac:dyDescent="0.3">
      <c r="A440" s="4" t="s">
        <v>219</v>
      </c>
      <c r="B440" s="4" t="s">
        <v>220</v>
      </c>
      <c r="C440" s="4" t="s">
        <v>221</v>
      </c>
      <c r="D440" s="4">
        <v>204</v>
      </c>
      <c r="E440" s="4">
        <v>1</v>
      </c>
      <c r="F440" s="4" t="s">
        <v>42</v>
      </c>
      <c r="G440" s="4" t="s">
        <v>67</v>
      </c>
      <c r="H440" s="4" t="s">
        <v>142</v>
      </c>
      <c r="I440" s="4" t="s">
        <v>34</v>
      </c>
      <c r="J440" s="4" t="s">
        <v>41</v>
      </c>
      <c r="K440" s="4" t="s">
        <v>34</v>
      </c>
      <c r="L440" s="4" t="s">
        <v>34</v>
      </c>
      <c r="M440" s="4" t="s">
        <v>34</v>
      </c>
      <c r="N440" s="4" t="s">
        <v>34</v>
      </c>
      <c r="O440" s="4" t="s">
        <v>34</v>
      </c>
      <c r="P440" s="4" t="s">
        <v>35</v>
      </c>
      <c r="Q440" s="4" t="s">
        <v>56</v>
      </c>
      <c r="R440" s="5" t="s">
        <v>150</v>
      </c>
    </row>
    <row r="441" spans="1:18" x14ac:dyDescent="0.3">
      <c r="A441" t="s">
        <v>219</v>
      </c>
      <c r="B441" t="s">
        <v>220</v>
      </c>
      <c r="C441" t="s">
        <v>221</v>
      </c>
      <c r="D441">
        <v>217</v>
      </c>
      <c r="E441">
        <v>1</v>
      </c>
      <c r="F441" t="s">
        <v>42</v>
      </c>
      <c r="G441" t="s">
        <v>32</v>
      </c>
      <c r="H441" t="s">
        <v>138</v>
      </c>
      <c r="I441" t="s">
        <v>41</v>
      </c>
      <c r="J441" t="s">
        <v>41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35</v>
      </c>
      <c r="Q441" t="s">
        <v>56</v>
      </c>
      <c r="R441" s="1" t="s">
        <v>150</v>
      </c>
    </row>
    <row r="442" spans="1:18" x14ac:dyDescent="0.3">
      <c r="A442" s="4" t="s">
        <v>219</v>
      </c>
      <c r="B442" s="4" t="s">
        <v>220</v>
      </c>
      <c r="C442" s="4" t="s">
        <v>221</v>
      </c>
      <c r="D442" s="4">
        <v>226</v>
      </c>
      <c r="E442" s="4">
        <v>1</v>
      </c>
      <c r="F442" s="4" t="s">
        <v>129</v>
      </c>
      <c r="G442" s="4" t="s">
        <v>108</v>
      </c>
      <c r="H442" s="4" t="s">
        <v>130</v>
      </c>
      <c r="I442" s="4" t="s">
        <v>34</v>
      </c>
      <c r="J442" s="4" t="s">
        <v>34</v>
      </c>
      <c r="K442" s="4" t="s">
        <v>34</v>
      </c>
      <c r="L442" s="4" t="s">
        <v>34</v>
      </c>
      <c r="M442" s="4" t="s">
        <v>34</v>
      </c>
      <c r="N442" s="4" t="s">
        <v>34</v>
      </c>
      <c r="O442" s="4" t="s">
        <v>34</v>
      </c>
      <c r="P442" s="4" t="s">
        <v>35</v>
      </c>
      <c r="Q442" s="4" t="s">
        <v>56</v>
      </c>
      <c r="R442" s="5" t="s">
        <v>39</v>
      </c>
    </row>
    <row r="443" spans="1:18" x14ac:dyDescent="0.3">
      <c r="A443" t="s">
        <v>219</v>
      </c>
      <c r="B443" t="s">
        <v>220</v>
      </c>
      <c r="C443" t="s">
        <v>221</v>
      </c>
      <c r="D443">
        <v>227</v>
      </c>
      <c r="E443">
        <v>3</v>
      </c>
      <c r="F443" t="s">
        <v>58</v>
      </c>
      <c r="G443" t="s">
        <v>46</v>
      </c>
      <c r="H443" t="s">
        <v>33</v>
      </c>
      <c r="I443" t="s">
        <v>34</v>
      </c>
      <c r="J443" t="s">
        <v>34</v>
      </c>
      <c r="K443" t="s">
        <v>34</v>
      </c>
      <c r="L443" t="s">
        <v>34</v>
      </c>
      <c r="M443" t="s">
        <v>41</v>
      </c>
      <c r="N443" t="s">
        <v>34</v>
      </c>
      <c r="O443" t="s">
        <v>34</v>
      </c>
      <c r="P443" t="s">
        <v>35</v>
      </c>
      <c r="Q443" t="s">
        <v>56</v>
      </c>
      <c r="R443" s="1" t="s">
        <v>133</v>
      </c>
    </row>
    <row r="444" spans="1:18" x14ac:dyDescent="0.3">
      <c r="A444" s="4" t="s">
        <v>219</v>
      </c>
      <c r="B444" s="4" t="s">
        <v>220</v>
      </c>
      <c r="C444" s="4" t="s">
        <v>221</v>
      </c>
      <c r="D444" s="4">
        <v>234</v>
      </c>
      <c r="E444" s="4">
        <v>1</v>
      </c>
      <c r="F444" s="4" t="s">
        <v>205</v>
      </c>
      <c r="G444" s="4" t="s">
        <v>46</v>
      </c>
      <c r="H444" s="4" t="s">
        <v>231</v>
      </c>
      <c r="I444" s="4" t="s">
        <v>34</v>
      </c>
      <c r="J444" s="4" t="s">
        <v>34</v>
      </c>
      <c r="K444" s="4" t="s">
        <v>34</v>
      </c>
      <c r="L444" s="4" t="s">
        <v>34</v>
      </c>
      <c r="M444" s="4" t="s">
        <v>34</v>
      </c>
      <c r="N444" s="4" t="s">
        <v>34</v>
      </c>
      <c r="O444" s="4" t="s">
        <v>34</v>
      </c>
      <c r="P444" s="4" t="s">
        <v>35</v>
      </c>
      <c r="Q444" s="4" t="s">
        <v>56</v>
      </c>
      <c r="R444" s="5" t="s">
        <v>150</v>
      </c>
    </row>
    <row r="445" spans="1:18" x14ac:dyDescent="0.3">
      <c r="A445" t="s">
        <v>219</v>
      </c>
      <c r="B445" t="s">
        <v>220</v>
      </c>
      <c r="C445" t="s">
        <v>221</v>
      </c>
      <c r="D445">
        <v>247</v>
      </c>
      <c r="E445">
        <v>1</v>
      </c>
      <c r="F445" t="s">
        <v>205</v>
      </c>
      <c r="G445" t="s">
        <v>32</v>
      </c>
      <c r="H445" t="s">
        <v>130</v>
      </c>
      <c r="I445" t="s">
        <v>34</v>
      </c>
      <c r="J445" t="s">
        <v>34</v>
      </c>
      <c r="K445" t="s">
        <v>34</v>
      </c>
      <c r="L445" t="s">
        <v>34</v>
      </c>
      <c r="M445" t="s">
        <v>41</v>
      </c>
      <c r="N445" t="s">
        <v>34</v>
      </c>
      <c r="O445" t="s">
        <v>34</v>
      </c>
      <c r="P445" t="s">
        <v>35</v>
      </c>
      <c r="Q445" t="s">
        <v>56</v>
      </c>
      <c r="R445" s="1" t="s">
        <v>150</v>
      </c>
    </row>
    <row r="446" spans="1:18" x14ac:dyDescent="0.3">
      <c r="A446" s="4" t="s">
        <v>219</v>
      </c>
      <c r="B446" s="4" t="s">
        <v>220</v>
      </c>
      <c r="C446" s="4" t="s">
        <v>221</v>
      </c>
      <c r="D446" s="4">
        <v>249</v>
      </c>
      <c r="E446" s="4">
        <v>1</v>
      </c>
      <c r="F446" s="4" t="s">
        <v>37</v>
      </c>
      <c r="G446" s="4" t="s">
        <v>149</v>
      </c>
      <c r="H446" s="4" t="s">
        <v>103</v>
      </c>
      <c r="I446" s="4" t="s">
        <v>41</v>
      </c>
      <c r="J446" s="4" t="s">
        <v>41</v>
      </c>
      <c r="K446" s="4" t="s">
        <v>34</v>
      </c>
      <c r="L446" s="4" t="s">
        <v>34</v>
      </c>
      <c r="M446" s="4" t="s">
        <v>34</v>
      </c>
      <c r="N446" s="4" t="s">
        <v>34</v>
      </c>
      <c r="O446" s="4" t="s">
        <v>34</v>
      </c>
      <c r="P446" s="4" t="s">
        <v>35</v>
      </c>
      <c r="Q446" s="4" t="s">
        <v>56</v>
      </c>
      <c r="R446" s="5" t="s">
        <v>150</v>
      </c>
    </row>
    <row r="447" spans="1:18" x14ac:dyDescent="0.3">
      <c r="A447" t="s">
        <v>219</v>
      </c>
      <c r="B447" t="s">
        <v>220</v>
      </c>
      <c r="C447" t="s">
        <v>221</v>
      </c>
      <c r="D447">
        <v>253</v>
      </c>
      <c r="E447">
        <v>1</v>
      </c>
      <c r="F447" t="s">
        <v>205</v>
      </c>
      <c r="G447" t="s">
        <v>32</v>
      </c>
      <c r="H447" t="s">
        <v>50</v>
      </c>
      <c r="I447" t="s">
        <v>41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49</v>
      </c>
      <c r="Q447" t="s">
        <v>56</v>
      </c>
      <c r="R447" s="1" t="s">
        <v>150</v>
      </c>
    </row>
    <row r="448" spans="1:18" x14ac:dyDescent="0.3">
      <c r="A448" s="4" t="s">
        <v>219</v>
      </c>
      <c r="B448" s="4" t="s">
        <v>220</v>
      </c>
      <c r="C448" s="4" t="s">
        <v>221</v>
      </c>
      <c r="D448" s="4">
        <v>255</v>
      </c>
      <c r="E448" s="4">
        <v>1</v>
      </c>
      <c r="F448" s="4" t="s">
        <v>42</v>
      </c>
      <c r="G448" s="4" t="s">
        <v>67</v>
      </c>
      <c r="H448" s="4" t="s">
        <v>101</v>
      </c>
      <c r="I448" s="4" t="s">
        <v>41</v>
      </c>
      <c r="J448" s="4" t="s">
        <v>34</v>
      </c>
      <c r="K448" s="4" t="s">
        <v>34</v>
      </c>
      <c r="L448" s="4" t="s">
        <v>34</v>
      </c>
      <c r="M448" s="4" t="s">
        <v>34</v>
      </c>
      <c r="N448" s="4" t="s">
        <v>34</v>
      </c>
      <c r="O448" s="4" t="s">
        <v>34</v>
      </c>
      <c r="P448" s="4" t="s">
        <v>49</v>
      </c>
      <c r="Q448" s="4" t="s">
        <v>56</v>
      </c>
      <c r="R448" s="5" t="s">
        <v>150</v>
      </c>
    </row>
    <row r="449" spans="1:18" x14ac:dyDescent="0.3">
      <c r="A449" t="s">
        <v>219</v>
      </c>
      <c r="B449" t="s">
        <v>220</v>
      </c>
      <c r="C449" t="s">
        <v>221</v>
      </c>
      <c r="D449">
        <v>259</v>
      </c>
      <c r="E449">
        <v>3</v>
      </c>
      <c r="F449" t="s">
        <v>42</v>
      </c>
      <c r="G449" t="s">
        <v>108</v>
      </c>
      <c r="H449" t="s">
        <v>50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49</v>
      </c>
      <c r="Q449" t="s">
        <v>56</v>
      </c>
      <c r="R449" s="1" t="s">
        <v>39</v>
      </c>
    </row>
    <row r="450" spans="1:18" x14ac:dyDescent="0.3">
      <c r="A450" s="4" t="s">
        <v>219</v>
      </c>
      <c r="B450" s="4" t="s">
        <v>220</v>
      </c>
      <c r="C450" s="4" t="s">
        <v>221</v>
      </c>
      <c r="D450" s="4">
        <v>263</v>
      </c>
      <c r="E450" s="4">
        <v>1</v>
      </c>
      <c r="F450" s="4" t="s">
        <v>42</v>
      </c>
      <c r="G450" s="4" t="s">
        <v>108</v>
      </c>
      <c r="H450" s="4" t="s">
        <v>151</v>
      </c>
      <c r="I450" s="4" t="s">
        <v>34</v>
      </c>
      <c r="J450" s="4" t="s">
        <v>34</v>
      </c>
      <c r="K450" s="4" t="s">
        <v>34</v>
      </c>
      <c r="L450" s="4" t="s">
        <v>34</v>
      </c>
      <c r="M450" s="4" t="s">
        <v>41</v>
      </c>
      <c r="N450" s="4" t="s">
        <v>34</v>
      </c>
      <c r="O450" s="4" t="s">
        <v>34</v>
      </c>
      <c r="P450" s="4" t="s">
        <v>49</v>
      </c>
      <c r="Q450" s="4" t="s">
        <v>56</v>
      </c>
      <c r="R450" s="5" t="s">
        <v>233</v>
      </c>
    </row>
    <row r="451" spans="1:18" x14ac:dyDescent="0.3">
      <c r="A451" t="s">
        <v>219</v>
      </c>
      <c r="B451" t="s">
        <v>220</v>
      </c>
      <c r="C451" t="s">
        <v>221</v>
      </c>
      <c r="D451">
        <v>271</v>
      </c>
      <c r="E451">
        <v>1</v>
      </c>
      <c r="F451" t="s">
        <v>42</v>
      </c>
      <c r="G451" t="s">
        <v>108</v>
      </c>
      <c r="H451" t="s">
        <v>119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49</v>
      </c>
      <c r="Q451" t="s">
        <v>56</v>
      </c>
      <c r="R451" s="1" t="s">
        <v>133</v>
      </c>
    </row>
    <row r="452" spans="1:18" x14ac:dyDescent="0.3">
      <c r="A452" s="4" t="s">
        <v>219</v>
      </c>
      <c r="B452" s="4" t="s">
        <v>220</v>
      </c>
      <c r="C452" s="4" t="s">
        <v>221</v>
      </c>
      <c r="D452" s="4">
        <v>274</v>
      </c>
      <c r="E452" s="4">
        <v>1</v>
      </c>
      <c r="F452" s="4" t="s">
        <v>153</v>
      </c>
      <c r="G452" s="4" t="s">
        <v>108</v>
      </c>
      <c r="H452" s="4" t="s">
        <v>153</v>
      </c>
      <c r="I452" s="4" t="s">
        <v>34</v>
      </c>
      <c r="J452" s="4" t="s">
        <v>34</v>
      </c>
      <c r="K452" s="4" t="s">
        <v>41</v>
      </c>
      <c r="L452" s="4" t="s">
        <v>34</v>
      </c>
      <c r="M452" s="4" t="s">
        <v>34</v>
      </c>
      <c r="N452" s="4" t="s">
        <v>34</v>
      </c>
      <c r="O452" s="4" t="s">
        <v>34</v>
      </c>
      <c r="P452" s="4" t="s">
        <v>49</v>
      </c>
      <c r="Q452" s="4" t="s">
        <v>56</v>
      </c>
      <c r="R452" s="5" t="s">
        <v>153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3671-3C9F-423E-8B39-A6137482953E}">
  <dimension ref="A1:F48"/>
  <sheetViews>
    <sheetView workbookViewId="0">
      <selection activeCell="C8" sqref="C8"/>
    </sheetView>
  </sheetViews>
  <sheetFormatPr defaultRowHeight="14.4" x14ac:dyDescent="0.3"/>
  <cols>
    <col min="1" max="1" width="18.88671875" customWidth="1"/>
    <col min="2" max="2" width="50.88671875" customWidth="1"/>
  </cols>
  <sheetData>
    <row r="1" spans="1:6" x14ac:dyDescent="0.3">
      <c r="A1" t="s">
        <v>294</v>
      </c>
      <c r="B1" s="6" t="s">
        <v>234</v>
      </c>
      <c r="C1" s="6" t="s">
        <v>235</v>
      </c>
      <c r="D1" s="6" t="s">
        <v>236</v>
      </c>
    </row>
    <row r="2" spans="1:6" hidden="1" x14ac:dyDescent="0.3">
      <c r="A2" t="s">
        <v>38</v>
      </c>
      <c r="B2" t="s">
        <v>38</v>
      </c>
      <c r="C2">
        <f>COUNTIF(Table1[Cantizans], Table3[[#This Row],[Pattern]])</f>
        <v>76</v>
      </c>
      <c r="D2" s="8">
        <f>Table3[[#This Row],[Count]]/461</f>
        <v>0.16485900216919741</v>
      </c>
      <c r="F2" s="11" t="s">
        <v>295</v>
      </c>
    </row>
    <row r="3" spans="1:6" hidden="1" x14ac:dyDescent="0.3">
      <c r="A3" t="s">
        <v>38</v>
      </c>
      <c r="B3" t="s">
        <v>63</v>
      </c>
      <c r="C3">
        <f>COUNTIF(Table1[Cantizans], Table3[[#This Row],[Pattern]])</f>
        <v>62</v>
      </c>
      <c r="D3" s="8">
        <f>Table3[[#This Row],[Count]]/461</f>
        <v>0.13449023861171366</v>
      </c>
      <c r="F3" t="s">
        <v>292</v>
      </c>
    </row>
    <row r="4" spans="1:6" x14ac:dyDescent="0.3">
      <c r="A4" t="s">
        <v>43</v>
      </c>
      <c r="B4" t="s">
        <v>43</v>
      </c>
      <c r="C4">
        <f>COUNTIF(Table1[Cantizans], Table3[[#This Row],[Pattern]])</f>
        <v>60</v>
      </c>
      <c r="D4" s="8">
        <f>Table3[[#This Row],[Count]]/461</f>
        <v>0.13015184381778741</v>
      </c>
      <c r="F4" t="s">
        <v>293</v>
      </c>
    </row>
    <row r="5" spans="1:6" hidden="1" x14ac:dyDescent="0.3">
      <c r="B5" t="s">
        <v>153</v>
      </c>
      <c r="C5">
        <f>COUNTIF(Table1[Cantizans], Table3[[#This Row],[Pattern]])</f>
        <v>38</v>
      </c>
      <c r="D5" s="8">
        <f>Table3[[#This Row],[Count]]/461</f>
        <v>8.2429501084598705E-2</v>
      </c>
    </row>
    <row r="6" spans="1:6" hidden="1" x14ac:dyDescent="0.3">
      <c r="A6" t="s">
        <v>38</v>
      </c>
      <c r="B6" t="s">
        <v>91</v>
      </c>
      <c r="C6">
        <f>COUNTIF(Table1[Cantizans], Table3[[#This Row],[Pattern]])</f>
        <v>24</v>
      </c>
      <c r="D6" s="8">
        <f>Table3[[#This Row],[Count]]/461</f>
        <v>5.2060737527114966E-2</v>
      </c>
    </row>
    <row r="7" spans="1:6" hidden="1" x14ac:dyDescent="0.3">
      <c r="A7" t="s">
        <v>38</v>
      </c>
      <c r="B7" t="s">
        <v>48</v>
      </c>
      <c r="C7">
        <f>COUNTIF(Table1[Cantizans], Table3[[#This Row],[Pattern]])</f>
        <v>19</v>
      </c>
      <c r="D7" s="8">
        <f>Table3[[#This Row],[Count]]/461</f>
        <v>4.1214750542299353E-2</v>
      </c>
    </row>
    <row r="8" spans="1:6" x14ac:dyDescent="0.3">
      <c r="A8" t="s">
        <v>43</v>
      </c>
      <c r="B8" t="s">
        <v>150</v>
      </c>
      <c r="C8">
        <f>COUNTIF(Table1[Cantizans], Table3[[#This Row],[Pattern]])</f>
        <v>18</v>
      </c>
      <c r="D8" s="8">
        <f>Table3[[#This Row],[Count]]/461</f>
        <v>3.9045553145336226E-2</v>
      </c>
    </row>
    <row r="9" spans="1:6" x14ac:dyDescent="0.3">
      <c r="A9" t="s">
        <v>43</v>
      </c>
      <c r="B9" t="s">
        <v>57</v>
      </c>
      <c r="C9">
        <f>COUNTIF(Table1[Cantizans], Table3[[#This Row],[Pattern]])</f>
        <v>16</v>
      </c>
      <c r="D9" s="8">
        <f>Table3[[#This Row],[Count]]/461</f>
        <v>3.4707158351409979E-2</v>
      </c>
    </row>
    <row r="10" spans="1:6" x14ac:dyDescent="0.3">
      <c r="A10" t="s">
        <v>43</v>
      </c>
      <c r="B10" t="s">
        <v>47</v>
      </c>
      <c r="C10">
        <f>COUNTIF(Table1[Cantizans], Table3[[#This Row],[Pattern]])</f>
        <v>13</v>
      </c>
      <c r="D10" s="8">
        <f>Table3[[#This Row],[Count]]/461</f>
        <v>2.8199566160520606E-2</v>
      </c>
    </row>
    <row r="11" spans="1:6" x14ac:dyDescent="0.3">
      <c r="A11" t="s">
        <v>43</v>
      </c>
      <c r="B11" t="s">
        <v>161</v>
      </c>
      <c r="C11">
        <f>COUNTIF(Table1[Cantizans], Table3[[#This Row],[Pattern]])</f>
        <v>13</v>
      </c>
      <c r="D11" s="8">
        <f>Table3[[#This Row],[Count]]/461</f>
        <v>2.8199566160520606E-2</v>
      </c>
    </row>
    <row r="12" spans="1:6" x14ac:dyDescent="0.3">
      <c r="A12" t="s">
        <v>43</v>
      </c>
      <c r="B12" t="s">
        <v>64</v>
      </c>
      <c r="C12">
        <f>COUNTIF(Table1[Cantizans], Table3[[#This Row],[Pattern]])</f>
        <v>10</v>
      </c>
      <c r="D12" s="8">
        <f>Table3[[#This Row],[Count]]/461</f>
        <v>2.1691973969631236E-2</v>
      </c>
    </row>
    <row r="13" spans="1:6" hidden="1" x14ac:dyDescent="0.3">
      <c r="A13" t="s">
        <v>38</v>
      </c>
      <c r="B13" t="s">
        <v>39</v>
      </c>
      <c r="C13">
        <f>COUNTIF(Table1[Cantizans], Table3[[#This Row],[Pattern]])</f>
        <v>10</v>
      </c>
      <c r="D13" s="8">
        <f>Table3[[#This Row],[Count]]/461</f>
        <v>2.1691973969631236E-2</v>
      </c>
    </row>
    <row r="14" spans="1:6" hidden="1" x14ac:dyDescent="0.3">
      <c r="A14" t="s">
        <v>59</v>
      </c>
      <c r="B14" t="s">
        <v>54</v>
      </c>
      <c r="C14">
        <f>COUNTIF(Table1[Cantizans], Table3[[#This Row],[Pattern]])</f>
        <v>10</v>
      </c>
      <c r="D14" s="8">
        <f>Table3[[#This Row],[Count]]/461</f>
        <v>2.1691973969631236E-2</v>
      </c>
    </row>
    <row r="15" spans="1:6" x14ac:dyDescent="0.3">
      <c r="A15" t="s">
        <v>43</v>
      </c>
      <c r="B15" t="s">
        <v>133</v>
      </c>
      <c r="C15">
        <f>COUNTIF(Table1[Cantizans], Table3[[#This Row],[Pattern]])</f>
        <v>9</v>
      </c>
      <c r="D15" s="8">
        <f>Table3[[#This Row],[Count]]/461</f>
        <v>1.9522776572668113E-2</v>
      </c>
    </row>
    <row r="16" spans="1:6" hidden="1" x14ac:dyDescent="0.3">
      <c r="A16" t="s">
        <v>38</v>
      </c>
      <c r="B16" t="s">
        <v>102</v>
      </c>
      <c r="C16">
        <f>COUNTIF(Table1[Cantizans], Table3[[#This Row],[Pattern]])</f>
        <v>8</v>
      </c>
      <c r="D16" s="8">
        <f>Table3[[#This Row],[Count]]/461</f>
        <v>1.735357917570499E-2</v>
      </c>
    </row>
    <row r="17" spans="1:4" hidden="1" x14ac:dyDescent="0.3">
      <c r="A17" t="s">
        <v>38</v>
      </c>
      <c r="B17" t="s">
        <v>157</v>
      </c>
      <c r="C17">
        <f>COUNTIF(Table1[Cantizans], Table3[[#This Row],[Pattern]])</f>
        <v>8</v>
      </c>
      <c r="D17" s="8">
        <f>Table3[[#This Row],[Count]]/461</f>
        <v>1.735357917570499E-2</v>
      </c>
    </row>
    <row r="18" spans="1:4" hidden="1" x14ac:dyDescent="0.3">
      <c r="A18" t="s">
        <v>38</v>
      </c>
      <c r="B18" t="s">
        <v>116</v>
      </c>
      <c r="C18">
        <f>COUNTIF(Table1[Cantizans], Table3[[#This Row],[Pattern]])</f>
        <v>8</v>
      </c>
      <c r="D18" s="8">
        <f>Table3[[#This Row],[Count]]/461</f>
        <v>1.735357917570499E-2</v>
      </c>
    </row>
    <row r="19" spans="1:4" hidden="1" x14ac:dyDescent="0.3">
      <c r="A19" t="s">
        <v>38</v>
      </c>
      <c r="B19" t="s">
        <v>170</v>
      </c>
      <c r="C19">
        <f>COUNTIF(Table1[Cantizans], Table3[[#This Row],[Pattern]])</f>
        <v>6</v>
      </c>
      <c r="D19" s="8">
        <f>Table3[[#This Row],[Count]]/461</f>
        <v>1.3015184381778741E-2</v>
      </c>
    </row>
    <row r="20" spans="1:4" x14ac:dyDescent="0.3">
      <c r="A20" t="s">
        <v>43</v>
      </c>
      <c r="B20" t="s">
        <v>145</v>
      </c>
      <c r="C20">
        <f>COUNTIF(Table1[Cantizans], Table3[[#This Row],[Pattern]])</f>
        <v>5</v>
      </c>
      <c r="D20" s="8">
        <f>Table3[[#This Row],[Count]]/461</f>
        <v>1.0845986984815618E-2</v>
      </c>
    </row>
    <row r="21" spans="1:4" x14ac:dyDescent="0.3">
      <c r="A21" t="s">
        <v>43</v>
      </c>
      <c r="B21" t="s">
        <v>66</v>
      </c>
      <c r="C21">
        <f>COUNTIF(Table1[Cantizans], Table3[[#This Row],[Pattern]])</f>
        <v>5</v>
      </c>
      <c r="D21" s="8">
        <f>Table3[[#This Row],[Count]]/461</f>
        <v>1.0845986984815618E-2</v>
      </c>
    </row>
    <row r="22" spans="1:4" x14ac:dyDescent="0.3">
      <c r="A22" t="s">
        <v>43</v>
      </c>
      <c r="B22" t="s">
        <v>148</v>
      </c>
      <c r="C22">
        <f>COUNTIF(Table1[Cantizans], Table3[[#This Row],[Pattern]])</f>
        <v>5</v>
      </c>
      <c r="D22" s="8">
        <f>Table3[[#This Row],[Count]]/461</f>
        <v>1.0845986984815618E-2</v>
      </c>
    </row>
    <row r="23" spans="1:4" x14ac:dyDescent="0.3">
      <c r="A23" t="s">
        <v>43</v>
      </c>
      <c r="B23" t="s">
        <v>99</v>
      </c>
      <c r="C23">
        <f>COUNTIF(Table1[Cantizans], Table3[[#This Row],[Pattern]])</f>
        <v>4</v>
      </c>
      <c r="D23" s="8">
        <f>Table3[[#This Row],[Count]]/461</f>
        <v>8.6767895878524948E-3</v>
      </c>
    </row>
    <row r="24" spans="1:4" x14ac:dyDescent="0.3">
      <c r="A24" t="s">
        <v>43</v>
      </c>
      <c r="B24" t="s">
        <v>126</v>
      </c>
      <c r="C24">
        <f>COUNTIF(Table1[Cantizans], Table3[[#This Row],[Pattern]])</f>
        <v>4</v>
      </c>
      <c r="D24" s="8">
        <f>Table3[[#This Row],[Count]]/461</f>
        <v>8.6767895878524948E-3</v>
      </c>
    </row>
    <row r="25" spans="1:4" x14ac:dyDescent="0.3">
      <c r="A25" t="s">
        <v>43</v>
      </c>
      <c r="B25" t="s">
        <v>45</v>
      </c>
      <c r="C25">
        <f>COUNTIF(Table1[Cantizans], Table3[[#This Row],[Pattern]])</f>
        <v>3</v>
      </c>
      <c r="D25" s="8">
        <f>Table3[[#This Row],[Count]]/461</f>
        <v>6.5075921908893707E-3</v>
      </c>
    </row>
    <row r="26" spans="1:4" x14ac:dyDescent="0.3">
      <c r="A26" t="s">
        <v>43</v>
      </c>
      <c r="B26" t="s">
        <v>94</v>
      </c>
      <c r="C26">
        <f>COUNTIF(Table1[Cantizans], Table3[[#This Row],[Pattern]])</f>
        <v>2</v>
      </c>
      <c r="D26" s="8">
        <f>Table3[[#This Row],[Count]]/461</f>
        <v>4.3383947939262474E-3</v>
      </c>
    </row>
    <row r="27" spans="1:4" x14ac:dyDescent="0.3">
      <c r="A27" t="s">
        <v>43</v>
      </c>
      <c r="B27" t="s">
        <v>176</v>
      </c>
      <c r="C27">
        <f>COUNTIF(Table1[Cantizans], Table3[[#This Row],[Pattern]])</f>
        <v>2</v>
      </c>
      <c r="D27" s="8">
        <f>Table3[[#This Row],[Count]]/461</f>
        <v>4.3383947939262474E-3</v>
      </c>
    </row>
    <row r="28" spans="1:4" hidden="1" x14ac:dyDescent="0.3">
      <c r="A28" t="s">
        <v>38</v>
      </c>
      <c r="B28" t="s">
        <v>215</v>
      </c>
      <c r="C28">
        <f>COUNTIF(Table1[Cantizans], Table3[[#This Row],[Pattern]])</f>
        <v>2</v>
      </c>
      <c r="D28" s="8">
        <f>Table3[[#This Row],[Count]]/461</f>
        <v>4.3383947939262474E-3</v>
      </c>
    </row>
    <row r="29" spans="1:4" hidden="1" x14ac:dyDescent="0.3">
      <c r="A29" t="s">
        <v>59</v>
      </c>
      <c r="B29" t="s">
        <v>59</v>
      </c>
      <c r="C29">
        <f>COUNTIF(Table1[Cantizans], Table3[[#This Row],[Pattern]])</f>
        <v>2</v>
      </c>
      <c r="D29" s="8">
        <f>Table3[[#This Row],[Count]]/461</f>
        <v>4.3383947939262474E-3</v>
      </c>
    </row>
    <row r="30" spans="1:4" hidden="1" x14ac:dyDescent="0.3">
      <c r="A30" t="s">
        <v>38</v>
      </c>
      <c r="B30" t="s">
        <v>117</v>
      </c>
      <c r="C30">
        <f>COUNTIF(Table1[Cantizans], Table3[[#This Row],[Pattern]])</f>
        <v>1</v>
      </c>
      <c r="D30" s="8">
        <f>Table3[[#This Row],[Count]]/461</f>
        <v>2.1691973969631237E-3</v>
      </c>
    </row>
    <row r="31" spans="1:4" hidden="1" x14ac:dyDescent="0.3">
      <c r="A31" t="s">
        <v>38</v>
      </c>
      <c r="B31" t="s">
        <v>121</v>
      </c>
      <c r="C31">
        <f>COUNTIF(Table1[Cantizans], Table3[[#This Row],[Pattern]])</f>
        <v>1</v>
      </c>
      <c r="D31" s="8">
        <f>Table3[[#This Row],[Count]]/461</f>
        <v>2.1691973969631237E-3</v>
      </c>
    </row>
    <row r="32" spans="1:4" hidden="1" x14ac:dyDescent="0.3">
      <c r="A32" t="s">
        <v>38</v>
      </c>
      <c r="B32" t="s">
        <v>154</v>
      </c>
      <c r="C32">
        <f>COUNTIF(Table1[Cantizans], Table3[[#This Row],[Pattern]])</f>
        <v>1</v>
      </c>
      <c r="D32" s="8">
        <f>Table3[[#This Row],[Count]]/461</f>
        <v>2.1691973969631237E-3</v>
      </c>
    </row>
    <row r="33" spans="1:4" x14ac:dyDescent="0.3">
      <c r="A33" t="s">
        <v>43</v>
      </c>
      <c r="B33" t="s">
        <v>178</v>
      </c>
      <c r="C33">
        <f>COUNTIF(Table1[Cantizans], Table3[[#This Row],[Pattern]])</f>
        <v>1</v>
      </c>
      <c r="D33" s="8">
        <f>Table3[[#This Row],[Count]]/461</f>
        <v>2.1691973969631237E-3</v>
      </c>
    </row>
    <row r="34" spans="1:4" hidden="1" x14ac:dyDescent="0.3">
      <c r="A34" t="s">
        <v>38</v>
      </c>
      <c r="B34" t="s">
        <v>180</v>
      </c>
      <c r="C34">
        <f>COUNTIF(Table1[Cantizans], Table3[[#This Row],[Pattern]])</f>
        <v>1</v>
      </c>
      <c r="D34" s="8">
        <f>Table3[[#This Row],[Count]]/461</f>
        <v>2.1691973969631237E-3</v>
      </c>
    </row>
    <row r="35" spans="1:4" hidden="1" x14ac:dyDescent="0.3">
      <c r="A35" t="s">
        <v>38</v>
      </c>
      <c r="B35" t="s">
        <v>181</v>
      </c>
      <c r="C35">
        <f>COUNTIF(Table1[Cantizans], Table3[[#This Row],[Pattern]])</f>
        <v>1</v>
      </c>
      <c r="D35" s="8">
        <f>Table3[[#This Row],[Count]]/461</f>
        <v>2.1691973969631237E-3</v>
      </c>
    </row>
    <row r="36" spans="1:4" x14ac:dyDescent="0.3">
      <c r="A36" t="s">
        <v>43</v>
      </c>
      <c r="B36" t="s">
        <v>182</v>
      </c>
      <c r="C36">
        <f>COUNTIF(Table1[Cantizans], Table3[[#This Row],[Pattern]])</f>
        <v>1</v>
      </c>
      <c r="D36" s="8">
        <f>Table3[[#This Row],[Count]]/461</f>
        <v>2.1691973969631237E-3</v>
      </c>
    </row>
    <row r="37" spans="1:4" hidden="1" x14ac:dyDescent="0.3">
      <c r="A37" t="s">
        <v>38</v>
      </c>
      <c r="B37" t="s">
        <v>184</v>
      </c>
      <c r="C37">
        <f>COUNTIF(Table1[Cantizans], Table3[[#This Row],[Pattern]])</f>
        <v>1</v>
      </c>
      <c r="D37" s="8">
        <f>Table3[[#This Row],[Count]]/461</f>
        <v>2.1691973969631237E-3</v>
      </c>
    </row>
    <row r="38" spans="1:4" x14ac:dyDescent="0.3">
      <c r="A38" t="s">
        <v>43</v>
      </c>
      <c r="B38" t="s">
        <v>190</v>
      </c>
      <c r="C38">
        <f>COUNTIF(Table1[Cantizans], Table3[[#This Row],[Pattern]])</f>
        <v>1</v>
      </c>
      <c r="D38" s="8">
        <f>Table3[[#This Row],[Count]]/461</f>
        <v>2.1691973969631237E-3</v>
      </c>
    </row>
    <row r="39" spans="1:4" x14ac:dyDescent="0.3">
      <c r="A39" t="s">
        <v>43</v>
      </c>
      <c r="B39" t="s">
        <v>207</v>
      </c>
      <c r="C39">
        <f>COUNTIF(Table1[Cantizans], Table3[[#This Row],[Pattern]])</f>
        <v>1</v>
      </c>
      <c r="D39" s="8">
        <f>Table3[[#This Row],[Count]]/461</f>
        <v>2.1691973969631237E-3</v>
      </c>
    </row>
    <row r="40" spans="1:4" x14ac:dyDescent="0.3">
      <c r="A40" t="s">
        <v>43</v>
      </c>
      <c r="B40" t="s">
        <v>216</v>
      </c>
      <c r="C40">
        <f>COUNTIF(Table1[Cantizans], Table3[[#This Row],[Pattern]])</f>
        <v>1</v>
      </c>
      <c r="D40" s="8">
        <f>Table3[[#This Row],[Count]]/461</f>
        <v>2.1691973969631237E-3</v>
      </c>
    </row>
    <row r="41" spans="1:4" x14ac:dyDescent="0.3">
      <c r="A41" t="s">
        <v>43</v>
      </c>
      <c r="B41" t="s">
        <v>225</v>
      </c>
      <c r="C41">
        <f>COUNTIF(Table1[Cantizans], Table3[[#This Row],[Pattern]])</f>
        <v>1</v>
      </c>
      <c r="D41" s="8">
        <f>Table3[[#This Row],[Count]]/461</f>
        <v>2.1691973969631237E-3</v>
      </c>
    </row>
    <row r="42" spans="1:4" hidden="1" x14ac:dyDescent="0.3">
      <c r="A42" t="s">
        <v>38</v>
      </c>
      <c r="B42" t="s">
        <v>226</v>
      </c>
      <c r="C42">
        <f>COUNTIF(Table1[Cantizans], Table3[[#This Row],[Pattern]])</f>
        <v>1</v>
      </c>
      <c r="D42" s="8">
        <f>Table3[[#This Row],[Count]]/461</f>
        <v>2.1691973969631237E-3</v>
      </c>
    </row>
    <row r="43" spans="1:4" x14ac:dyDescent="0.3">
      <c r="A43" t="s">
        <v>43</v>
      </c>
      <c r="B43" t="s">
        <v>228</v>
      </c>
      <c r="C43">
        <f>COUNTIF(Table1[Cantizans], Table3[[#This Row],[Pattern]])</f>
        <v>1</v>
      </c>
      <c r="D43" s="8">
        <f>Table3[[#This Row],[Count]]/461</f>
        <v>2.1691973969631237E-3</v>
      </c>
    </row>
    <row r="44" spans="1:4" x14ac:dyDescent="0.3">
      <c r="A44" t="s">
        <v>43</v>
      </c>
      <c r="B44" t="s">
        <v>233</v>
      </c>
      <c r="C44">
        <f>COUNTIF(Table1[Cantizans], Table3[[#This Row],[Pattern]])</f>
        <v>1</v>
      </c>
      <c r="D44" s="8">
        <f>Table3[[#This Row],[Count]]/461</f>
        <v>2.1691973969631237E-3</v>
      </c>
    </row>
    <row r="45" spans="1:4" x14ac:dyDescent="0.3">
      <c r="A45" t="s">
        <v>43</v>
      </c>
      <c r="B45" t="s">
        <v>213</v>
      </c>
      <c r="C45">
        <f>COUNTIF(Table1[Cantizans], Table3[[#This Row],[Pattern]])</f>
        <v>0</v>
      </c>
      <c r="D45" s="8">
        <f>Table3[[#This Row],[Count]]/461</f>
        <v>0</v>
      </c>
    </row>
    <row r="46" spans="1:4" x14ac:dyDescent="0.3">
      <c r="A46" t="s">
        <v>43</v>
      </c>
      <c r="B46" t="s">
        <v>113</v>
      </c>
      <c r="C46">
        <f>COUNTIF(Table1[Cantizans], Table3[[#This Row],[Pattern]])</f>
        <v>0</v>
      </c>
      <c r="D46" s="8">
        <f>Table3[[#This Row],[Count]]/461</f>
        <v>0</v>
      </c>
    </row>
    <row r="48" spans="1:4" x14ac:dyDescent="0.3">
      <c r="B48">
        <f>SUM(Table3[Count])</f>
        <v>457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AB7F-5F70-4B30-852A-495E6A56C90C}">
  <dimension ref="A1:B14"/>
  <sheetViews>
    <sheetView workbookViewId="0">
      <selection activeCell="B7" sqref="B7"/>
    </sheetView>
  </sheetViews>
  <sheetFormatPr defaultRowHeight="14.4" x14ac:dyDescent="0.3"/>
  <cols>
    <col min="1" max="1" width="8.33203125" customWidth="1"/>
    <col min="2" max="2" width="29.6640625" customWidth="1"/>
  </cols>
  <sheetData>
    <row r="1" spans="1:2" x14ac:dyDescent="0.3">
      <c r="A1" t="s">
        <v>68</v>
      </c>
      <c r="B1" t="s">
        <v>69</v>
      </c>
    </row>
    <row r="2" spans="1:2" x14ac:dyDescent="0.3">
      <c r="A2" t="s">
        <v>72</v>
      </c>
      <c r="B2" t="s">
        <v>73</v>
      </c>
    </row>
    <row r="3" spans="1:2" x14ac:dyDescent="0.3">
      <c r="A3" t="s">
        <v>32</v>
      </c>
      <c r="B3" t="s">
        <v>31</v>
      </c>
    </row>
    <row r="4" spans="1:2" x14ac:dyDescent="0.3">
      <c r="A4" t="s">
        <v>77</v>
      </c>
      <c r="B4" t="s">
        <v>78</v>
      </c>
    </row>
    <row r="5" spans="1:2" x14ac:dyDescent="0.3">
      <c r="A5" t="s">
        <v>82</v>
      </c>
      <c r="B5" t="s">
        <v>83</v>
      </c>
    </row>
    <row r="6" spans="1:2" x14ac:dyDescent="0.3">
      <c r="A6" t="s">
        <v>70</v>
      </c>
      <c r="B6" t="s">
        <v>71</v>
      </c>
    </row>
    <row r="7" spans="1:2" x14ac:dyDescent="0.3">
      <c r="A7" t="s">
        <v>74</v>
      </c>
      <c r="B7" t="s">
        <v>120</v>
      </c>
    </row>
    <row r="8" spans="1:2" x14ac:dyDescent="0.3">
      <c r="A8" t="s">
        <v>75</v>
      </c>
      <c r="B8" t="s">
        <v>76</v>
      </c>
    </row>
    <row r="9" spans="1:2" x14ac:dyDescent="0.3">
      <c r="A9" t="s">
        <v>79</v>
      </c>
      <c r="B9" t="s">
        <v>169</v>
      </c>
    </row>
    <row r="10" spans="1:2" x14ac:dyDescent="0.3">
      <c r="A10" t="s">
        <v>80</v>
      </c>
      <c r="B10" t="s">
        <v>81</v>
      </c>
    </row>
    <row r="11" spans="1:2" x14ac:dyDescent="0.3">
      <c r="A11" t="s">
        <v>84</v>
      </c>
      <c r="B11" t="s">
        <v>85</v>
      </c>
    </row>
    <row r="12" spans="1:2" x14ac:dyDescent="0.3">
      <c r="A12" t="s">
        <v>86</v>
      </c>
      <c r="B12" t="s">
        <v>87</v>
      </c>
    </row>
    <row r="13" spans="1:2" x14ac:dyDescent="0.3">
      <c r="A13" t="s">
        <v>95</v>
      </c>
      <c r="B13" t="s">
        <v>88</v>
      </c>
    </row>
    <row r="14" spans="1:2" x14ac:dyDescent="0.3">
      <c r="A14" t="s">
        <v>89</v>
      </c>
      <c r="B14" t="s">
        <v>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950C-6B8B-4179-BB7D-FB7AFFB74CAE}">
  <dimension ref="A1:L53"/>
  <sheetViews>
    <sheetView workbookViewId="0">
      <pane ySplit="1" topLeftCell="A2" activePane="bottomLeft" state="frozen"/>
      <selection activeCell="C1" sqref="C1"/>
      <selection pane="bottomLeft" activeCell="D54" sqref="D54"/>
    </sheetView>
  </sheetViews>
  <sheetFormatPr defaultRowHeight="14.4" x14ac:dyDescent="0.3"/>
  <cols>
    <col min="1" max="1" width="6.6640625" customWidth="1"/>
    <col min="2" max="3" width="18.6640625" customWidth="1"/>
    <col min="7" max="7" width="12.33203125" customWidth="1"/>
    <col min="8" max="8" width="17.33203125" customWidth="1"/>
    <col min="9" max="9" width="14.33203125" customWidth="1"/>
    <col min="10" max="10" width="10.6640625" customWidth="1"/>
  </cols>
  <sheetData>
    <row r="1" spans="1:12" x14ac:dyDescent="0.3">
      <c r="A1" s="6" t="s">
        <v>246</v>
      </c>
      <c r="B1" s="6" t="s">
        <v>2</v>
      </c>
      <c r="C1" s="6" t="s">
        <v>0</v>
      </c>
      <c r="D1" s="6" t="s">
        <v>9</v>
      </c>
      <c r="E1" s="6" t="s">
        <v>7</v>
      </c>
      <c r="F1" s="6" t="s">
        <v>243</v>
      </c>
      <c r="G1" s="6" t="s">
        <v>247</v>
      </c>
      <c r="H1" s="6" t="s">
        <v>251</v>
      </c>
      <c r="I1" s="6" t="s">
        <v>238</v>
      </c>
      <c r="J1" s="6" t="s">
        <v>239</v>
      </c>
      <c r="K1" s="6" t="s">
        <v>240</v>
      </c>
      <c r="L1" s="6" t="s">
        <v>244</v>
      </c>
    </row>
    <row r="2" spans="1:12" x14ac:dyDescent="0.3">
      <c r="A2">
        <v>51</v>
      </c>
      <c r="B2" t="s">
        <v>241</v>
      </c>
      <c r="C2" t="s">
        <v>242</v>
      </c>
      <c r="D2">
        <v>99</v>
      </c>
      <c r="E2" t="s">
        <v>46</v>
      </c>
      <c r="F2">
        <v>5</v>
      </c>
      <c r="G2">
        <v>2</v>
      </c>
      <c r="H2" t="s">
        <v>253</v>
      </c>
      <c r="I2" t="s">
        <v>49</v>
      </c>
      <c r="J2" t="s">
        <v>153</v>
      </c>
      <c r="K2">
        <v>3</v>
      </c>
      <c r="L2" t="s">
        <v>245</v>
      </c>
    </row>
    <row r="3" spans="1:12" x14ac:dyDescent="0.3">
      <c r="A3">
        <v>51</v>
      </c>
      <c r="B3" t="s">
        <v>241</v>
      </c>
      <c r="C3" t="s">
        <v>242</v>
      </c>
      <c r="D3">
        <v>190</v>
      </c>
      <c r="E3" t="s">
        <v>46</v>
      </c>
      <c r="F3">
        <v>5</v>
      </c>
      <c r="G3">
        <v>2</v>
      </c>
      <c r="H3" t="s">
        <v>254</v>
      </c>
      <c r="I3" t="s">
        <v>49</v>
      </c>
      <c r="J3" t="s">
        <v>130</v>
      </c>
      <c r="K3">
        <v>3</v>
      </c>
    </row>
    <row r="4" spans="1:12" x14ac:dyDescent="0.3">
      <c r="A4">
        <v>52</v>
      </c>
      <c r="B4" t="s">
        <v>212</v>
      </c>
      <c r="C4" t="s">
        <v>248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263</v>
      </c>
    </row>
    <row r="5" spans="1:12" x14ac:dyDescent="0.3">
      <c r="A5">
        <v>55</v>
      </c>
      <c r="B5" t="s">
        <v>249</v>
      </c>
      <c r="C5" t="s">
        <v>250</v>
      </c>
      <c r="D5">
        <v>4</v>
      </c>
      <c r="E5" t="s">
        <v>32</v>
      </c>
      <c r="F5">
        <v>5</v>
      </c>
      <c r="G5">
        <v>4</v>
      </c>
      <c r="H5" t="s">
        <v>252</v>
      </c>
      <c r="I5" t="s">
        <v>49</v>
      </c>
      <c r="J5" t="s">
        <v>153</v>
      </c>
      <c r="K5">
        <v>2</v>
      </c>
    </row>
    <row r="6" spans="1:12" x14ac:dyDescent="0.3">
      <c r="A6">
        <v>55</v>
      </c>
      <c r="B6" t="s">
        <v>249</v>
      </c>
      <c r="C6" t="s">
        <v>250</v>
      </c>
      <c r="D6">
        <v>174</v>
      </c>
      <c r="E6" t="s">
        <v>255</v>
      </c>
      <c r="F6">
        <v>5</v>
      </c>
      <c r="G6" t="s">
        <v>256</v>
      </c>
      <c r="H6" t="s">
        <v>257</v>
      </c>
      <c r="I6" t="s">
        <v>49</v>
      </c>
      <c r="J6" t="s">
        <v>153</v>
      </c>
      <c r="K6">
        <v>3</v>
      </c>
      <c r="L6" t="s">
        <v>258</v>
      </c>
    </row>
    <row r="7" spans="1:12" x14ac:dyDescent="0.3">
      <c r="A7">
        <v>55</v>
      </c>
      <c r="B7" t="s">
        <v>249</v>
      </c>
      <c r="C7" t="s">
        <v>250</v>
      </c>
      <c r="D7">
        <v>196</v>
      </c>
      <c r="E7" t="s">
        <v>67</v>
      </c>
      <c r="F7">
        <v>5</v>
      </c>
      <c r="G7" t="s">
        <v>259</v>
      </c>
      <c r="H7" t="s">
        <v>260</v>
      </c>
      <c r="I7" t="s">
        <v>49</v>
      </c>
      <c r="J7" t="s">
        <v>261</v>
      </c>
      <c r="K7">
        <v>2</v>
      </c>
      <c r="L7" t="s">
        <v>258</v>
      </c>
    </row>
    <row r="8" spans="1:12" x14ac:dyDescent="0.3">
      <c r="A8">
        <v>60</v>
      </c>
      <c r="B8" t="s">
        <v>262</v>
      </c>
      <c r="C8" t="s">
        <v>250</v>
      </c>
      <c r="D8">
        <v>101</v>
      </c>
      <c r="E8" t="s">
        <v>72</v>
      </c>
      <c r="F8">
        <v>4</v>
      </c>
      <c r="G8">
        <v>3</v>
      </c>
      <c r="H8" t="s">
        <v>252</v>
      </c>
      <c r="I8" t="s">
        <v>49</v>
      </c>
      <c r="J8" t="s">
        <v>160</v>
      </c>
      <c r="K8">
        <v>2</v>
      </c>
    </row>
    <row r="9" spans="1:12" x14ac:dyDescent="0.3">
      <c r="A9">
        <v>61</v>
      </c>
      <c r="B9" t="s">
        <v>209</v>
      </c>
      <c r="C9" t="s">
        <v>248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263</v>
      </c>
    </row>
    <row r="10" spans="1:12" x14ac:dyDescent="0.3">
      <c r="A10">
        <v>62</v>
      </c>
      <c r="B10" t="s">
        <v>264</v>
      </c>
      <c r="C10" t="s">
        <v>248</v>
      </c>
      <c r="D10">
        <v>60</v>
      </c>
      <c r="E10" t="s">
        <v>67</v>
      </c>
      <c r="F10">
        <v>4</v>
      </c>
      <c r="G10">
        <v>2</v>
      </c>
      <c r="H10" t="s">
        <v>265</v>
      </c>
      <c r="I10" t="s">
        <v>49</v>
      </c>
      <c r="J10" t="s">
        <v>160</v>
      </c>
      <c r="K10" s="9" t="s">
        <v>266</v>
      </c>
    </row>
    <row r="11" spans="1:12" x14ac:dyDescent="0.3">
      <c r="A11">
        <v>62</v>
      </c>
      <c r="B11" t="s">
        <v>264</v>
      </c>
      <c r="C11" t="s">
        <v>248</v>
      </c>
      <c r="D11">
        <v>121</v>
      </c>
      <c r="E11" t="s">
        <v>67</v>
      </c>
      <c r="F11">
        <v>4</v>
      </c>
      <c r="G11">
        <v>2</v>
      </c>
      <c r="H11" t="s">
        <v>265</v>
      </c>
      <c r="I11" t="s">
        <v>49</v>
      </c>
      <c r="J11" t="s">
        <v>160</v>
      </c>
      <c r="K11">
        <v>2</v>
      </c>
    </row>
    <row r="12" spans="1:12" x14ac:dyDescent="0.3">
      <c r="A12">
        <v>63</v>
      </c>
      <c r="B12" t="s">
        <v>241</v>
      </c>
      <c r="C12" t="s">
        <v>248</v>
      </c>
      <c r="D12">
        <v>49</v>
      </c>
      <c r="E12" t="s">
        <v>32</v>
      </c>
      <c r="F12">
        <v>4</v>
      </c>
      <c r="G12">
        <v>3</v>
      </c>
      <c r="H12" t="s">
        <v>252</v>
      </c>
      <c r="I12" t="s">
        <v>49</v>
      </c>
      <c r="J12" t="s">
        <v>153</v>
      </c>
      <c r="K12">
        <v>2</v>
      </c>
    </row>
    <row r="13" spans="1:12" x14ac:dyDescent="0.3">
      <c r="A13">
        <v>64</v>
      </c>
      <c r="B13" t="s">
        <v>241</v>
      </c>
      <c r="C13" t="s">
        <v>242</v>
      </c>
      <c r="D13">
        <v>97</v>
      </c>
      <c r="E13" t="s">
        <v>46</v>
      </c>
      <c r="F13">
        <v>4</v>
      </c>
      <c r="G13">
        <v>1</v>
      </c>
      <c r="H13" t="s">
        <v>267</v>
      </c>
      <c r="I13" t="s">
        <v>49</v>
      </c>
      <c r="J13" t="s">
        <v>268</v>
      </c>
      <c r="K13">
        <v>2</v>
      </c>
    </row>
    <row r="14" spans="1:12" x14ac:dyDescent="0.3">
      <c r="A14">
        <v>64</v>
      </c>
      <c r="B14" t="s">
        <v>241</v>
      </c>
      <c r="C14" t="s">
        <v>242</v>
      </c>
      <c r="D14">
        <v>107</v>
      </c>
      <c r="E14" t="s">
        <v>67</v>
      </c>
      <c r="F14">
        <v>4</v>
      </c>
      <c r="G14">
        <v>1</v>
      </c>
      <c r="H14" t="s">
        <v>257</v>
      </c>
      <c r="I14" t="s">
        <v>49</v>
      </c>
      <c r="J14" t="s">
        <v>153</v>
      </c>
      <c r="K14">
        <v>2</v>
      </c>
    </row>
    <row r="15" spans="1:12" x14ac:dyDescent="0.3">
      <c r="A15">
        <v>65</v>
      </c>
      <c r="B15" t="s">
        <v>189</v>
      </c>
      <c r="C15" t="s">
        <v>269</v>
      </c>
      <c r="D15">
        <v>3</v>
      </c>
      <c r="E15" t="s">
        <v>67</v>
      </c>
      <c r="F15">
        <v>4</v>
      </c>
      <c r="G15">
        <v>3</v>
      </c>
      <c r="H15" t="s">
        <v>252</v>
      </c>
      <c r="I15" t="s">
        <v>49</v>
      </c>
      <c r="J15" t="s">
        <v>153</v>
      </c>
      <c r="K15">
        <v>2</v>
      </c>
    </row>
    <row r="16" spans="1:12" x14ac:dyDescent="0.3">
      <c r="A16">
        <v>65</v>
      </c>
      <c r="B16" t="s">
        <v>189</v>
      </c>
      <c r="C16" t="s">
        <v>269</v>
      </c>
      <c r="D16">
        <v>59</v>
      </c>
      <c r="E16" t="s">
        <v>108</v>
      </c>
      <c r="F16">
        <v>4</v>
      </c>
      <c r="G16">
        <v>3</v>
      </c>
      <c r="H16" t="s">
        <v>270</v>
      </c>
      <c r="I16" t="s">
        <v>49</v>
      </c>
      <c r="J16" t="s">
        <v>40</v>
      </c>
      <c r="K16">
        <v>2</v>
      </c>
    </row>
    <row r="17" spans="1:11" x14ac:dyDescent="0.3">
      <c r="A17">
        <v>66</v>
      </c>
      <c r="B17" t="s">
        <v>271</v>
      </c>
      <c r="C17" t="s">
        <v>269</v>
      </c>
      <c r="D17">
        <v>44</v>
      </c>
      <c r="E17" t="s">
        <v>46</v>
      </c>
      <c r="F17">
        <v>4</v>
      </c>
      <c r="G17">
        <v>3</v>
      </c>
      <c r="H17" t="s">
        <v>270</v>
      </c>
      <c r="I17" t="s">
        <v>49</v>
      </c>
      <c r="J17" t="s">
        <v>153</v>
      </c>
      <c r="K17">
        <v>2</v>
      </c>
    </row>
    <row r="18" spans="1:11" x14ac:dyDescent="0.3">
      <c r="A18">
        <v>66</v>
      </c>
      <c r="B18" t="s">
        <v>271</v>
      </c>
      <c r="C18" t="s">
        <v>269</v>
      </c>
      <c r="D18">
        <v>102</v>
      </c>
      <c r="E18" t="s">
        <v>46</v>
      </c>
      <c r="F18">
        <v>4</v>
      </c>
      <c r="G18">
        <v>3</v>
      </c>
      <c r="H18" t="s">
        <v>252</v>
      </c>
      <c r="I18" t="s">
        <v>49</v>
      </c>
      <c r="J18" t="s">
        <v>160</v>
      </c>
      <c r="K18">
        <v>2</v>
      </c>
    </row>
    <row r="19" spans="1:11" x14ac:dyDescent="0.3">
      <c r="A19">
        <v>70</v>
      </c>
      <c r="B19" t="s">
        <v>192</v>
      </c>
      <c r="C19" t="s">
        <v>272</v>
      </c>
      <c r="D19">
        <v>10</v>
      </c>
      <c r="E19" t="s">
        <v>32</v>
      </c>
      <c r="F19">
        <v>5</v>
      </c>
      <c r="G19">
        <v>2</v>
      </c>
      <c r="H19" t="s">
        <v>273</v>
      </c>
      <c r="I19" t="s">
        <v>49</v>
      </c>
      <c r="J19" t="s">
        <v>33</v>
      </c>
      <c r="K19">
        <v>2</v>
      </c>
    </row>
    <row r="20" spans="1:11" x14ac:dyDescent="0.3">
      <c r="A20">
        <v>70</v>
      </c>
      <c r="B20" t="s">
        <v>192</v>
      </c>
      <c r="C20" t="s">
        <v>272</v>
      </c>
      <c r="D20">
        <v>71</v>
      </c>
      <c r="E20" t="s">
        <v>46</v>
      </c>
      <c r="F20">
        <v>5</v>
      </c>
      <c r="G20">
        <v>3</v>
      </c>
      <c r="H20" t="s">
        <v>274</v>
      </c>
      <c r="I20" t="s">
        <v>49</v>
      </c>
      <c r="J20" t="s">
        <v>163</v>
      </c>
      <c r="K20" s="10" t="s">
        <v>266</v>
      </c>
    </row>
    <row r="21" spans="1:11" x14ac:dyDescent="0.3">
      <c r="A21">
        <v>70</v>
      </c>
      <c r="B21" t="s">
        <v>192</v>
      </c>
      <c r="C21" t="s">
        <v>272</v>
      </c>
      <c r="D21">
        <v>124</v>
      </c>
      <c r="E21" t="s">
        <v>32</v>
      </c>
      <c r="F21">
        <v>5</v>
      </c>
      <c r="G21">
        <v>3</v>
      </c>
      <c r="H21" t="s">
        <v>275</v>
      </c>
      <c r="I21" t="s">
        <v>49</v>
      </c>
      <c r="J21" t="s">
        <v>40</v>
      </c>
      <c r="K21">
        <v>2</v>
      </c>
    </row>
    <row r="22" spans="1:11" x14ac:dyDescent="0.3">
      <c r="A22">
        <v>70</v>
      </c>
      <c r="B22" t="s">
        <v>192</v>
      </c>
      <c r="C22" t="s">
        <v>272</v>
      </c>
      <c r="D22">
        <v>139</v>
      </c>
      <c r="E22" t="s">
        <v>46</v>
      </c>
      <c r="F22">
        <v>5</v>
      </c>
      <c r="G22">
        <v>3</v>
      </c>
      <c r="H22" t="s">
        <v>275</v>
      </c>
      <c r="I22" t="s">
        <v>49</v>
      </c>
      <c r="J22" t="s">
        <v>40</v>
      </c>
      <c r="K22">
        <v>2</v>
      </c>
    </row>
    <row r="23" spans="1:11" x14ac:dyDescent="0.3">
      <c r="A23">
        <v>70</v>
      </c>
      <c r="B23" t="s">
        <v>192</v>
      </c>
      <c r="C23" t="s">
        <v>272</v>
      </c>
      <c r="D23">
        <v>161</v>
      </c>
      <c r="E23" t="s">
        <v>46</v>
      </c>
      <c r="F23">
        <v>5</v>
      </c>
      <c r="G23">
        <v>3</v>
      </c>
      <c r="H23" t="s">
        <v>276</v>
      </c>
      <c r="I23" t="s">
        <v>49</v>
      </c>
      <c r="J23" t="s">
        <v>40</v>
      </c>
      <c r="K23">
        <v>2</v>
      </c>
    </row>
    <row r="24" spans="1:11" x14ac:dyDescent="0.3">
      <c r="A24">
        <v>71</v>
      </c>
      <c r="B24" t="s">
        <v>192</v>
      </c>
      <c r="C24" t="s">
        <v>277</v>
      </c>
      <c r="D24">
        <v>16</v>
      </c>
      <c r="E24" t="s">
        <v>32</v>
      </c>
      <c r="F24">
        <v>5</v>
      </c>
      <c r="G24">
        <v>4</v>
      </c>
      <c r="H24" t="s">
        <v>278</v>
      </c>
      <c r="I24" t="s">
        <v>49</v>
      </c>
      <c r="J24" t="s">
        <v>50</v>
      </c>
      <c r="K24">
        <v>1</v>
      </c>
    </row>
    <row r="25" spans="1:11" x14ac:dyDescent="0.3">
      <c r="A25">
        <v>71</v>
      </c>
      <c r="B25" t="s">
        <v>192</v>
      </c>
      <c r="C25" t="s">
        <v>277</v>
      </c>
      <c r="D25">
        <v>32</v>
      </c>
      <c r="E25" t="s">
        <v>46</v>
      </c>
      <c r="F25">
        <v>5</v>
      </c>
      <c r="G25">
        <v>4</v>
      </c>
      <c r="H25" t="s">
        <v>279</v>
      </c>
      <c r="I25" t="s">
        <v>49</v>
      </c>
      <c r="J25" t="s">
        <v>40</v>
      </c>
      <c r="K25" s="10" t="s">
        <v>280</v>
      </c>
    </row>
    <row r="26" spans="1:11" x14ac:dyDescent="0.3">
      <c r="A26">
        <v>71</v>
      </c>
      <c r="B26" t="s">
        <v>192</v>
      </c>
      <c r="C26" t="s">
        <v>277</v>
      </c>
      <c r="D26">
        <v>46</v>
      </c>
      <c r="E26" t="s">
        <v>32</v>
      </c>
      <c r="F26">
        <v>3</v>
      </c>
      <c r="G26">
        <v>2</v>
      </c>
      <c r="H26" t="s">
        <v>270</v>
      </c>
      <c r="I26" t="s">
        <v>35</v>
      </c>
      <c r="J26" t="s">
        <v>168</v>
      </c>
      <c r="K26">
        <v>2</v>
      </c>
    </row>
    <row r="27" spans="1:11" x14ac:dyDescent="0.3">
      <c r="A27">
        <v>71</v>
      </c>
      <c r="B27" t="s">
        <v>192</v>
      </c>
      <c r="C27" t="s">
        <v>277</v>
      </c>
      <c r="D27">
        <v>78</v>
      </c>
      <c r="E27" t="s">
        <v>32</v>
      </c>
      <c r="F27">
        <v>5</v>
      </c>
      <c r="G27">
        <v>3</v>
      </c>
      <c r="H27" t="s">
        <v>276</v>
      </c>
      <c r="I27" t="s">
        <v>49</v>
      </c>
      <c r="J27" t="s">
        <v>40</v>
      </c>
      <c r="K27">
        <v>2</v>
      </c>
    </row>
    <row r="28" spans="1:11" x14ac:dyDescent="0.3">
      <c r="A28">
        <v>71</v>
      </c>
      <c r="B28" t="s">
        <v>192</v>
      </c>
      <c r="C28" t="s">
        <v>277</v>
      </c>
      <c r="D28">
        <v>100</v>
      </c>
      <c r="E28" t="s">
        <v>46</v>
      </c>
      <c r="F28">
        <v>5</v>
      </c>
      <c r="G28">
        <v>4</v>
      </c>
      <c r="H28" t="s">
        <v>270</v>
      </c>
      <c r="I28" t="s">
        <v>49</v>
      </c>
      <c r="J28" t="s">
        <v>40</v>
      </c>
      <c r="K28">
        <v>1</v>
      </c>
    </row>
    <row r="29" spans="1:11" x14ac:dyDescent="0.3">
      <c r="A29">
        <v>71</v>
      </c>
      <c r="B29" t="s">
        <v>192</v>
      </c>
      <c r="C29" t="s">
        <v>277</v>
      </c>
      <c r="D29">
        <v>118</v>
      </c>
      <c r="E29" t="s">
        <v>108</v>
      </c>
      <c r="F29">
        <v>3</v>
      </c>
      <c r="G29">
        <v>1</v>
      </c>
      <c r="H29" t="s">
        <v>275</v>
      </c>
      <c r="I29" t="s">
        <v>35</v>
      </c>
      <c r="J29" t="s">
        <v>153</v>
      </c>
      <c r="K29">
        <v>2</v>
      </c>
    </row>
    <row r="30" spans="1:11" x14ac:dyDescent="0.3">
      <c r="A30">
        <v>71</v>
      </c>
      <c r="B30" t="s">
        <v>192</v>
      </c>
      <c r="C30" t="s">
        <v>277</v>
      </c>
      <c r="D30">
        <v>147</v>
      </c>
      <c r="E30" t="s">
        <v>32</v>
      </c>
      <c r="F30">
        <v>5</v>
      </c>
      <c r="G30">
        <v>4</v>
      </c>
      <c r="H30" t="s">
        <v>279</v>
      </c>
      <c r="I30" t="s">
        <v>49</v>
      </c>
      <c r="J30" t="s">
        <v>40</v>
      </c>
      <c r="K30">
        <v>1</v>
      </c>
    </row>
    <row r="31" spans="1:11" x14ac:dyDescent="0.3">
      <c r="A31">
        <v>71</v>
      </c>
      <c r="B31" t="s">
        <v>192</v>
      </c>
      <c r="C31" t="s">
        <v>277</v>
      </c>
      <c r="D31">
        <v>151</v>
      </c>
      <c r="E31" t="s">
        <v>46</v>
      </c>
      <c r="F31">
        <v>5</v>
      </c>
      <c r="G31">
        <v>4</v>
      </c>
      <c r="H31" t="s">
        <v>270</v>
      </c>
      <c r="I31" t="s">
        <v>49</v>
      </c>
      <c r="J31" t="s">
        <v>153</v>
      </c>
      <c r="K31">
        <v>2</v>
      </c>
    </row>
    <row r="32" spans="1:11" x14ac:dyDescent="0.3">
      <c r="A32">
        <v>71</v>
      </c>
      <c r="B32" t="s">
        <v>192</v>
      </c>
      <c r="C32" t="s">
        <v>277</v>
      </c>
      <c r="D32">
        <v>162</v>
      </c>
      <c r="E32" t="s">
        <v>46</v>
      </c>
      <c r="F32">
        <v>5</v>
      </c>
      <c r="G32">
        <v>4</v>
      </c>
      <c r="H32" t="s">
        <v>270</v>
      </c>
      <c r="I32" t="s">
        <v>49</v>
      </c>
      <c r="J32" t="s">
        <v>40</v>
      </c>
      <c r="K32">
        <v>2</v>
      </c>
    </row>
    <row r="33" spans="1:11" x14ac:dyDescent="0.3">
      <c r="A33">
        <v>71</v>
      </c>
      <c r="B33" t="s">
        <v>192</v>
      </c>
      <c r="C33" t="s">
        <v>277</v>
      </c>
      <c r="D33">
        <v>178</v>
      </c>
      <c r="E33" t="s">
        <v>32</v>
      </c>
      <c r="F33">
        <v>5</v>
      </c>
      <c r="G33">
        <v>4</v>
      </c>
      <c r="H33" t="s">
        <v>282</v>
      </c>
      <c r="I33" t="s">
        <v>49</v>
      </c>
      <c r="J33" t="s">
        <v>40</v>
      </c>
      <c r="K33">
        <v>1</v>
      </c>
    </row>
    <row r="34" spans="1:11" x14ac:dyDescent="0.3">
      <c r="A34">
        <v>72</v>
      </c>
      <c r="B34" t="s">
        <v>192</v>
      </c>
      <c r="C34" t="s">
        <v>283</v>
      </c>
      <c r="D34">
        <v>20</v>
      </c>
      <c r="E34" t="s">
        <v>32</v>
      </c>
      <c r="F34">
        <v>5</v>
      </c>
      <c r="G34">
        <v>1</v>
      </c>
      <c r="H34" t="s">
        <v>284</v>
      </c>
      <c r="I34" t="s">
        <v>49</v>
      </c>
      <c r="J34" t="s">
        <v>285</v>
      </c>
      <c r="K34">
        <v>1</v>
      </c>
    </row>
    <row r="35" spans="1:11" x14ac:dyDescent="0.3">
      <c r="A35">
        <v>72</v>
      </c>
      <c r="B35" t="s">
        <v>192</v>
      </c>
      <c r="C35" t="s">
        <v>283</v>
      </c>
      <c r="D35">
        <v>40</v>
      </c>
      <c r="E35" t="s">
        <v>32</v>
      </c>
      <c r="F35">
        <v>5</v>
      </c>
      <c r="G35">
        <v>3</v>
      </c>
      <c r="H35" t="s">
        <v>276</v>
      </c>
      <c r="I35" t="s">
        <v>49</v>
      </c>
      <c r="J35" t="s">
        <v>40</v>
      </c>
      <c r="K35">
        <v>1</v>
      </c>
    </row>
    <row r="36" spans="1:11" x14ac:dyDescent="0.3">
      <c r="A36">
        <v>72</v>
      </c>
      <c r="B36" t="s">
        <v>192</v>
      </c>
      <c r="C36" t="s">
        <v>283</v>
      </c>
      <c r="D36">
        <v>110</v>
      </c>
      <c r="E36" t="s">
        <v>46</v>
      </c>
      <c r="F36">
        <v>5</v>
      </c>
      <c r="G36">
        <v>2</v>
      </c>
      <c r="H36" t="s">
        <v>273</v>
      </c>
      <c r="I36" t="s">
        <v>49</v>
      </c>
      <c r="J36" t="s">
        <v>40</v>
      </c>
      <c r="K36" t="s">
        <v>286</v>
      </c>
    </row>
    <row r="37" spans="1:11" x14ac:dyDescent="0.3">
      <c r="A37">
        <v>72</v>
      </c>
      <c r="B37" t="s">
        <v>192</v>
      </c>
      <c r="C37" t="s">
        <v>283</v>
      </c>
      <c r="D37">
        <v>166</v>
      </c>
      <c r="E37" t="s">
        <v>67</v>
      </c>
      <c r="F37">
        <v>5</v>
      </c>
      <c r="G37">
        <v>2</v>
      </c>
      <c r="H37" t="s">
        <v>257</v>
      </c>
      <c r="I37" t="s">
        <v>49</v>
      </c>
      <c r="J37" t="s">
        <v>33</v>
      </c>
      <c r="K37">
        <v>2</v>
      </c>
    </row>
    <row r="38" spans="1:11" x14ac:dyDescent="0.3">
      <c r="A38">
        <v>72</v>
      </c>
      <c r="B38" t="s">
        <v>192</v>
      </c>
      <c r="C38" t="s">
        <v>283</v>
      </c>
      <c r="D38">
        <v>171</v>
      </c>
      <c r="E38" t="s">
        <v>67</v>
      </c>
      <c r="F38">
        <v>5</v>
      </c>
      <c r="G38">
        <v>4</v>
      </c>
      <c r="H38" t="s">
        <v>270</v>
      </c>
      <c r="I38" t="s">
        <v>49</v>
      </c>
      <c r="J38" t="s">
        <v>55</v>
      </c>
      <c r="K38">
        <v>2</v>
      </c>
    </row>
    <row r="39" spans="1:11" x14ac:dyDescent="0.3">
      <c r="A39">
        <v>72</v>
      </c>
      <c r="B39" t="s">
        <v>192</v>
      </c>
      <c r="C39" t="s">
        <v>283</v>
      </c>
      <c r="D39">
        <v>185</v>
      </c>
      <c r="E39" t="s">
        <v>46</v>
      </c>
      <c r="F39">
        <v>5</v>
      </c>
      <c r="G39">
        <v>2</v>
      </c>
      <c r="H39" t="s">
        <v>287</v>
      </c>
      <c r="I39" t="s">
        <v>49</v>
      </c>
      <c r="J39" t="s">
        <v>105</v>
      </c>
      <c r="K39" t="s">
        <v>286</v>
      </c>
    </row>
    <row r="40" spans="1:11" x14ac:dyDescent="0.3">
      <c r="A40">
        <v>72</v>
      </c>
      <c r="B40" t="s">
        <v>192</v>
      </c>
      <c r="C40" t="s">
        <v>283</v>
      </c>
      <c r="D40">
        <v>224</v>
      </c>
      <c r="E40" t="s">
        <v>46</v>
      </c>
      <c r="F40">
        <v>5</v>
      </c>
      <c r="G40">
        <v>3</v>
      </c>
      <c r="H40" t="s">
        <v>276</v>
      </c>
      <c r="I40" t="s">
        <v>49</v>
      </c>
      <c r="J40" t="s">
        <v>40</v>
      </c>
      <c r="K40">
        <v>2</v>
      </c>
    </row>
    <row r="41" spans="1:11" x14ac:dyDescent="0.3">
      <c r="A41">
        <v>73</v>
      </c>
      <c r="B41" t="s">
        <v>192</v>
      </c>
      <c r="C41" t="s">
        <v>248</v>
      </c>
      <c r="D41">
        <v>25</v>
      </c>
      <c r="E41" t="s">
        <v>46</v>
      </c>
      <c r="F41">
        <v>5</v>
      </c>
      <c r="G41">
        <v>3</v>
      </c>
      <c r="H41" t="s">
        <v>281</v>
      </c>
      <c r="I41" t="s">
        <v>49</v>
      </c>
      <c r="J41" t="s">
        <v>40</v>
      </c>
      <c r="K41" t="s">
        <v>266</v>
      </c>
    </row>
    <row r="42" spans="1:11" x14ac:dyDescent="0.3">
      <c r="A42">
        <v>73</v>
      </c>
      <c r="B42" t="s">
        <v>192</v>
      </c>
      <c r="C42" t="s">
        <v>248</v>
      </c>
      <c r="D42">
        <v>42</v>
      </c>
      <c r="E42" t="s">
        <v>32</v>
      </c>
      <c r="F42">
        <v>3</v>
      </c>
      <c r="G42">
        <v>2</v>
      </c>
      <c r="H42" t="s">
        <v>270</v>
      </c>
      <c r="I42" t="s">
        <v>35</v>
      </c>
      <c r="J42" t="s">
        <v>153</v>
      </c>
      <c r="K42">
        <v>2</v>
      </c>
    </row>
    <row r="43" spans="1:11" x14ac:dyDescent="0.3">
      <c r="A43">
        <v>73</v>
      </c>
      <c r="B43" t="s">
        <v>192</v>
      </c>
      <c r="C43" t="s">
        <v>248</v>
      </c>
      <c r="D43">
        <v>93</v>
      </c>
      <c r="E43" t="s">
        <v>46</v>
      </c>
      <c r="F43">
        <v>5</v>
      </c>
      <c r="G43">
        <v>3</v>
      </c>
      <c r="H43" t="s">
        <v>275</v>
      </c>
      <c r="I43" t="s">
        <v>49</v>
      </c>
      <c r="J43" t="s">
        <v>40</v>
      </c>
      <c r="K43">
        <v>2</v>
      </c>
    </row>
    <row r="44" spans="1:11" x14ac:dyDescent="0.3">
      <c r="A44">
        <v>73</v>
      </c>
      <c r="B44" t="s">
        <v>192</v>
      </c>
      <c r="C44" t="s">
        <v>248</v>
      </c>
      <c r="D44">
        <v>149</v>
      </c>
      <c r="E44" t="s">
        <v>46</v>
      </c>
      <c r="F44">
        <v>5</v>
      </c>
      <c r="G44">
        <v>2</v>
      </c>
      <c r="H44" t="s">
        <v>253</v>
      </c>
      <c r="I44" t="s">
        <v>49</v>
      </c>
      <c r="J44" t="s">
        <v>153</v>
      </c>
      <c r="K44">
        <v>2</v>
      </c>
    </row>
    <row r="45" spans="1:11" x14ac:dyDescent="0.3">
      <c r="A45">
        <v>73</v>
      </c>
      <c r="B45" t="s">
        <v>192</v>
      </c>
      <c r="C45" t="s">
        <v>248</v>
      </c>
      <c r="D45">
        <v>161</v>
      </c>
      <c r="E45" t="s">
        <v>46</v>
      </c>
      <c r="F45">
        <v>5</v>
      </c>
      <c r="G45">
        <v>4</v>
      </c>
      <c r="H45" t="s">
        <v>282</v>
      </c>
      <c r="I45" t="s">
        <v>49</v>
      </c>
      <c r="J45" t="s">
        <v>40</v>
      </c>
      <c r="K45">
        <v>1</v>
      </c>
    </row>
    <row r="46" spans="1:11" x14ac:dyDescent="0.3">
      <c r="A46">
        <v>73</v>
      </c>
      <c r="B46" t="s">
        <v>192</v>
      </c>
      <c r="C46" t="s">
        <v>248</v>
      </c>
      <c r="D46">
        <v>179</v>
      </c>
      <c r="E46" t="s">
        <v>32</v>
      </c>
      <c r="F46">
        <v>3</v>
      </c>
      <c r="G46">
        <v>1</v>
      </c>
      <c r="H46" t="s">
        <v>265</v>
      </c>
      <c r="I46" t="s">
        <v>35</v>
      </c>
      <c r="J46" t="s">
        <v>153</v>
      </c>
      <c r="K46">
        <v>2</v>
      </c>
    </row>
    <row r="47" spans="1:11" x14ac:dyDescent="0.3">
      <c r="A47">
        <v>73</v>
      </c>
      <c r="B47" t="s">
        <v>192</v>
      </c>
      <c r="C47" t="s">
        <v>248</v>
      </c>
      <c r="D47">
        <v>196</v>
      </c>
      <c r="E47" t="s">
        <v>46</v>
      </c>
      <c r="F47">
        <v>5</v>
      </c>
      <c r="G47">
        <v>4</v>
      </c>
      <c r="H47" t="s">
        <v>252</v>
      </c>
      <c r="I47" t="s">
        <v>49</v>
      </c>
      <c r="J47" t="s">
        <v>40</v>
      </c>
      <c r="K47">
        <v>1</v>
      </c>
    </row>
    <row r="48" spans="1:11" x14ac:dyDescent="0.3">
      <c r="A48">
        <v>75</v>
      </c>
      <c r="B48" t="s">
        <v>192</v>
      </c>
      <c r="C48" t="s">
        <v>288</v>
      </c>
      <c r="D48">
        <v>15</v>
      </c>
      <c r="E48" t="s">
        <v>67</v>
      </c>
      <c r="F48">
        <v>5</v>
      </c>
      <c r="G48">
        <v>4</v>
      </c>
      <c r="H48" t="s">
        <v>252</v>
      </c>
      <c r="I48" t="s">
        <v>49</v>
      </c>
      <c r="J48" t="s">
        <v>40</v>
      </c>
      <c r="K48" t="s">
        <v>266</v>
      </c>
    </row>
    <row r="49" spans="1:11" x14ac:dyDescent="0.3">
      <c r="A49">
        <v>75</v>
      </c>
      <c r="B49" t="s">
        <v>192</v>
      </c>
      <c r="C49" t="s">
        <v>288</v>
      </c>
      <c r="D49">
        <v>72</v>
      </c>
      <c r="E49" t="s">
        <v>67</v>
      </c>
      <c r="F49">
        <v>5</v>
      </c>
      <c r="G49">
        <v>3</v>
      </c>
      <c r="H49" t="s">
        <v>252</v>
      </c>
      <c r="I49" t="s">
        <v>35</v>
      </c>
      <c r="J49" t="s">
        <v>160</v>
      </c>
      <c r="K49">
        <v>2</v>
      </c>
    </row>
    <row r="50" spans="1:11" x14ac:dyDescent="0.3">
      <c r="A50">
        <v>75</v>
      </c>
      <c r="B50" t="s">
        <v>192</v>
      </c>
      <c r="C50" t="s">
        <v>288</v>
      </c>
      <c r="D50">
        <v>217</v>
      </c>
      <c r="E50" t="s">
        <v>67</v>
      </c>
      <c r="F50">
        <v>3</v>
      </c>
      <c r="G50">
        <v>2</v>
      </c>
      <c r="H50" t="s">
        <v>252</v>
      </c>
      <c r="I50" t="s">
        <v>35</v>
      </c>
      <c r="J50" t="s">
        <v>153</v>
      </c>
      <c r="K50">
        <v>2</v>
      </c>
    </row>
    <row r="51" spans="1:11" x14ac:dyDescent="0.3">
      <c r="A51">
        <v>75</v>
      </c>
      <c r="B51" t="s">
        <v>192</v>
      </c>
      <c r="C51" t="s">
        <v>288</v>
      </c>
      <c r="D51">
        <v>228</v>
      </c>
      <c r="E51" t="s">
        <v>67</v>
      </c>
      <c r="F51">
        <v>2</v>
      </c>
      <c r="G51">
        <v>1</v>
      </c>
      <c r="H51" t="s">
        <v>252</v>
      </c>
      <c r="I51" t="s">
        <v>35</v>
      </c>
      <c r="J51" t="s">
        <v>153</v>
      </c>
      <c r="K51">
        <v>2</v>
      </c>
    </row>
    <row r="52" spans="1:11" x14ac:dyDescent="0.3">
      <c r="A52">
        <v>75</v>
      </c>
      <c r="B52" t="s">
        <v>192</v>
      </c>
      <c r="C52" t="s">
        <v>288</v>
      </c>
      <c r="D52">
        <v>237</v>
      </c>
      <c r="E52" t="s">
        <v>67</v>
      </c>
      <c r="F52">
        <v>5</v>
      </c>
      <c r="G52">
        <v>2</v>
      </c>
      <c r="H52" t="s">
        <v>273</v>
      </c>
      <c r="I52" t="s">
        <v>49</v>
      </c>
      <c r="J52" t="s">
        <v>33</v>
      </c>
      <c r="K52" t="s">
        <v>280</v>
      </c>
    </row>
    <row r="53" spans="1:11" x14ac:dyDescent="0.3">
      <c r="A53">
        <v>91</v>
      </c>
      <c r="B53" t="s">
        <v>192</v>
      </c>
      <c r="C53" t="s">
        <v>289</v>
      </c>
      <c r="D53">
        <v>17</v>
      </c>
      <c r="E53" t="s">
        <v>67</v>
      </c>
      <c r="F53">
        <v>4</v>
      </c>
      <c r="G53">
        <v>3</v>
      </c>
      <c r="H53" t="s">
        <v>252</v>
      </c>
      <c r="I53" t="s">
        <v>49</v>
      </c>
      <c r="J53" t="s">
        <v>160</v>
      </c>
      <c r="K53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3F05-D4C9-433C-97B8-0C9108446B4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Candences</vt:lpstr>
      <vt:lpstr>Cantizans</vt:lpstr>
      <vt:lpstr>CVFs</vt:lpstr>
      <vt:lpstr>Post-cadential extensions</vt:lpstr>
      <vt:lpstr>Closes without a cadence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Winter</dc:creator>
  <cp:lastModifiedBy>Michael Winter (PGR)</cp:lastModifiedBy>
  <dcterms:created xsi:type="dcterms:W3CDTF">2015-06-05T18:17:20Z</dcterms:created>
  <dcterms:modified xsi:type="dcterms:W3CDTF">2026-01-05T23:47:43Z</dcterms:modified>
</cp:coreProperties>
</file>